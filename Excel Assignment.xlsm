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njum\Downloads\"/>
    </mc:Choice>
  </mc:AlternateContent>
  <xr:revisionPtr revIDLastSave="0" documentId="8_{927D357E-A047-4E49-9C56-ED76A6653EE3}" xr6:coauthVersionLast="47" xr6:coauthVersionMax="47" xr10:uidLastSave="{00000000-0000-0000-0000-000000000000}"/>
  <bookViews>
    <workbookView xWindow="-108" yWindow="-108" windowWidth="23256" windowHeight="12456" xr2:uid="{9412B7A4-FD46-4053-A4A2-A3DEE33B4293}"/>
  </bookViews>
  <sheets>
    <sheet name="Advanced Excel| Assignment" sheetId="1" r:id="rId1"/>
    <sheet name="Dashboard-Question 7" sheetId="2" r:id="rId2"/>
  </sheets>
  <definedNames>
    <definedName name="Slicer_Accident_ID">#N/A</definedName>
    <definedName name="Slicer_Accident_Type">#N/A</definedName>
    <definedName name="Slicer_Casualties">#N/A</definedName>
    <definedName name="Slicer_Cause">#N/A</definedName>
    <definedName name="Slicer_Date">#N/A</definedName>
    <definedName name="Slicer_Location">#N/A</definedName>
    <definedName name="Slicer_Road_Condition">#N/A</definedName>
    <definedName name="Slicer_Severity">#N/A</definedName>
    <definedName name="Slicer_Vehicle_Type">#N/A</definedName>
    <definedName name="Slicer_Weather_Condition">#N/A</definedName>
  </definedNames>
  <calcPr calcId="191029"/>
  <pivotCaches>
    <pivotCache cacheId="12" r:id="rId3"/>
    <pivotCache cacheId="2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 l="1"/>
  <c r="M216" i="1"/>
  <c r="M227" i="1"/>
  <c r="M228" i="1"/>
  <c r="M235" i="1"/>
  <c r="M236" i="1"/>
  <c r="M240" i="1"/>
  <c r="M248" i="1"/>
  <c r="M249" i="1"/>
  <c r="M250" i="1"/>
  <c r="M260" i="1"/>
  <c r="M262" i="1"/>
  <c r="M263" i="1"/>
  <c r="M264" i="1"/>
  <c r="M275" i="1"/>
  <c r="M276" i="1"/>
  <c r="M288" i="1"/>
  <c r="M294" i="1"/>
  <c r="L206" i="1" a="1"/>
  <c r="L206" i="1" s="1"/>
  <c r="N206" i="1" s="1"/>
  <c r="C185" i="1"/>
  <c r="N210" i="1"/>
  <c r="N211" i="1"/>
  <c r="N222" i="1"/>
  <c r="N223" i="1"/>
  <c r="N235" i="1"/>
  <c r="N240" i="1"/>
  <c r="N241" i="1"/>
  <c r="N242" i="1"/>
  <c r="N247" i="1"/>
  <c r="N254" i="1"/>
  <c r="N255" i="1"/>
  <c r="N256" i="1"/>
  <c r="N257" i="1"/>
  <c r="N259" i="1"/>
  <c r="N266" i="1"/>
  <c r="N268" i="1"/>
  <c r="N269" i="1"/>
  <c r="N270" i="1"/>
  <c r="N281" i="1"/>
  <c r="N282" i="1"/>
  <c r="N283" i="1"/>
  <c r="N294" i="1"/>
  <c r="N295" i="1"/>
  <c r="L207" i="1" a="1"/>
  <c r="L207" i="1"/>
  <c r="L208" i="1" a="1"/>
  <c r="L208" i="1" s="1"/>
  <c r="L209" i="1" a="1"/>
  <c r="L209" i="1" s="1"/>
  <c r="L210" i="1" a="1"/>
  <c r="L210" i="1"/>
  <c r="M210" i="1" s="1"/>
  <c r="L211" i="1" a="1"/>
  <c r="L211" i="1"/>
  <c r="M211" i="1" s="1"/>
  <c r="L212" i="1" a="1"/>
  <c r="L212" i="1"/>
  <c r="N212" i="1" s="1"/>
  <c r="L213" i="1" a="1"/>
  <c r="L213" i="1"/>
  <c r="L214" i="1" a="1"/>
  <c r="L214" i="1" s="1"/>
  <c r="L215" i="1" a="1"/>
  <c r="L215" i="1" s="1"/>
  <c r="L216" i="1" a="1"/>
  <c r="L216" i="1"/>
  <c r="N216" i="1" s="1"/>
  <c r="L217" i="1" a="1"/>
  <c r="L217" i="1"/>
  <c r="M217" i="1" s="1"/>
  <c r="L218" i="1" a="1"/>
  <c r="L218" i="1"/>
  <c r="M218" i="1" s="1"/>
  <c r="L219" i="1" a="1"/>
  <c r="L219" i="1"/>
  <c r="L220" i="1" a="1"/>
  <c r="L220" i="1" s="1"/>
  <c r="L221" i="1" a="1"/>
  <c r="L221" i="1" s="1"/>
  <c r="L222" i="1" a="1"/>
  <c r="L222" i="1"/>
  <c r="M222" i="1" s="1"/>
  <c r="L223" i="1" a="1"/>
  <c r="L223" i="1"/>
  <c r="M223" i="1" s="1"/>
  <c r="L224" i="1" a="1"/>
  <c r="L224" i="1" s="1"/>
  <c r="N224" i="1" s="1"/>
  <c r="L225" i="1" a="1"/>
  <c r="L225" i="1"/>
  <c r="N225" i="1" s="1"/>
  <c r="L226" i="1" a="1"/>
  <c r="L226" i="1" s="1"/>
  <c r="L227" i="1" a="1"/>
  <c r="L227" i="1"/>
  <c r="N227" i="1" s="1"/>
  <c r="L228" i="1" a="1"/>
  <c r="L228" i="1"/>
  <c r="N228" i="1" s="1"/>
  <c r="L229" i="1" a="1"/>
  <c r="L229" i="1"/>
  <c r="M229" i="1" s="1"/>
  <c r="L230" i="1" a="1"/>
  <c r="L230" i="1" s="1"/>
  <c r="N230" i="1" s="1"/>
  <c r="L231" i="1" a="1"/>
  <c r="L231" i="1"/>
  <c r="M231" i="1" s="1"/>
  <c r="L232" i="1" a="1"/>
  <c r="L232" i="1"/>
  <c r="L233" i="1" a="1"/>
  <c r="L233" i="1" s="1"/>
  <c r="L234" i="1" a="1"/>
  <c r="L234" i="1" s="1"/>
  <c r="L235" i="1" a="1"/>
  <c r="L235" i="1"/>
  <c r="L236" i="1" a="1"/>
  <c r="L236" i="1" s="1"/>
  <c r="N236" i="1" s="1"/>
  <c r="L237" i="1" a="1"/>
  <c r="L237" i="1"/>
  <c r="N237" i="1" s="1"/>
  <c r="L238" i="1" a="1"/>
  <c r="L238" i="1"/>
  <c r="N238" i="1" s="1"/>
  <c r="L239" i="1" a="1"/>
  <c r="L239" i="1" s="1"/>
  <c r="L240" i="1" a="1"/>
  <c r="L240" i="1"/>
  <c r="L241" i="1" a="1"/>
  <c r="L241" i="1"/>
  <c r="M241" i="1" s="1"/>
  <c r="L242" i="1" a="1"/>
  <c r="L242" i="1" s="1"/>
  <c r="M242" i="1" s="1"/>
  <c r="L243" i="1" a="1"/>
  <c r="L243" i="1"/>
  <c r="M243" i="1" s="1"/>
  <c r="L244" i="1" a="1"/>
  <c r="L244" i="1"/>
  <c r="M244" i="1" s="1"/>
  <c r="L245" i="1" a="1"/>
  <c r="L245" i="1"/>
  <c r="L246" i="1" a="1"/>
  <c r="L246" i="1" s="1"/>
  <c r="L247" i="1" a="1"/>
  <c r="L247" i="1" s="1"/>
  <c r="M247" i="1" s="1"/>
  <c r="L248" i="1" a="1"/>
  <c r="L248" i="1" s="1"/>
  <c r="N248" i="1" s="1"/>
  <c r="L249" i="1" a="1"/>
  <c r="L249" i="1"/>
  <c r="N249" i="1" s="1"/>
  <c r="L250" i="1" a="1"/>
  <c r="L250" i="1"/>
  <c r="N250" i="1" s="1"/>
  <c r="L251" i="1" a="1"/>
  <c r="L251" i="1"/>
  <c r="L252" i="1" a="1"/>
  <c r="L252" i="1" s="1"/>
  <c r="N252" i="1" s="1"/>
  <c r="L253" i="1" a="1"/>
  <c r="L253" i="1" s="1"/>
  <c r="L254" i="1" a="1"/>
  <c r="L254" i="1" s="1"/>
  <c r="M254" i="1" s="1"/>
  <c r="L255" i="1" a="1"/>
  <c r="L255" i="1"/>
  <c r="M255" i="1" s="1"/>
  <c r="L256" i="1" a="1"/>
  <c r="L256" i="1"/>
  <c r="M256" i="1" s="1"/>
  <c r="L257" i="1" a="1"/>
  <c r="L257" i="1" s="1"/>
  <c r="M257" i="1" s="1"/>
  <c r="L258" i="1" a="1"/>
  <c r="L258" i="1"/>
  <c r="L259" i="1" a="1"/>
  <c r="L259" i="1" s="1"/>
  <c r="M259" i="1" s="1"/>
  <c r="L260" i="1" a="1"/>
  <c r="L260" i="1" s="1"/>
  <c r="N260" i="1" s="1"/>
  <c r="L261" i="1" a="1"/>
  <c r="L261" i="1" s="1"/>
  <c r="L262" i="1" a="1"/>
  <c r="L262" i="1"/>
  <c r="N262" i="1" s="1"/>
  <c r="L263" i="1" a="1"/>
  <c r="L263" i="1"/>
  <c r="N263" i="1" s="1"/>
  <c r="L264" i="1" a="1"/>
  <c r="L264" i="1"/>
  <c r="N264" i="1" s="1"/>
  <c r="L265" i="1" a="1"/>
  <c r="L265" i="1" s="1"/>
  <c r="L266" i="1" a="1"/>
  <c r="L266" i="1" s="1"/>
  <c r="M266" i="1" s="1"/>
  <c r="L267" i="1" a="1"/>
  <c r="L267" i="1" s="1"/>
  <c r="L268" i="1" a="1"/>
  <c r="L268" i="1"/>
  <c r="M268" i="1" s="1"/>
  <c r="L269" i="1" a="1"/>
  <c r="L269" i="1"/>
  <c r="M269" i="1" s="1"/>
  <c r="L270" i="1" a="1"/>
  <c r="L270" i="1"/>
  <c r="M270" i="1" s="1"/>
  <c r="L271" i="1" a="1"/>
  <c r="L271" i="1"/>
  <c r="M271" i="1" s="1"/>
  <c r="L272" i="1" a="1"/>
  <c r="L272" i="1" s="1"/>
  <c r="L273" i="1" a="1"/>
  <c r="L273" i="1" s="1"/>
  <c r="L274" i="1" a="1"/>
  <c r="L274" i="1" s="1"/>
  <c r="L275" i="1" a="1"/>
  <c r="L275" i="1"/>
  <c r="N275" i="1" s="1"/>
  <c r="L276" i="1" a="1"/>
  <c r="L276" i="1"/>
  <c r="N276" i="1" s="1"/>
  <c r="L277" i="1" a="1"/>
  <c r="L277" i="1"/>
  <c r="M277" i="1" s="1"/>
  <c r="L278" i="1" a="1"/>
  <c r="L278" i="1" s="1"/>
  <c r="L279" i="1" a="1"/>
  <c r="L279" i="1" s="1"/>
  <c r="L280" i="1" a="1"/>
  <c r="L280" i="1" s="1"/>
  <c r="L281" i="1" a="1"/>
  <c r="L281" i="1"/>
  <c r="M281" i="1" s="1"/>
  <c r="L282" i="1" a="1"/>
  <c r="L282" i="1"/>
  <c r="M282" i="1" s="1"/>
  <c r="L283" i="1" a="1"/>
  <c r="L283" i="1"/>
  <c r="M283" i="1" s="1"/>
  <c r="L284" i="1" a="1"/>
  <c r="L284" i="1" s="1"/>
  <c r="N284" i="1" s="1"/>
  <c r="L285" i="1" a="1"/>
  <c r="L285" i="1"/>
  <c r="L286" i="1" a="1"/>
  <c r="L286" i="1" s="1"/>
  <c r="L287" i="1" a="1"/>
  <c r="L287" i="1" s="1"/>
  <c r="L288" i="1" a="1"/>
  <c r="L288" i="1"/>
  <c r="N288" i="1" s="1"/>
  <c r="L289" i="1" a="1"/>
  <c r="L289" i="1"/>
  <c r="M289" i="1" s="1"/>
  <c r="L290" i="1" a="1"/>
  <c r="L290" i="1" s="1"/>
  <c r="M290" i="1" s="1"/>
  <c r="L291" i="1" a="1"/>
  <c r="L291" i="1"/>
  <c r="L292" i="1" a="1"/>
  <c r="L292" i="1" s="1"/>
  <c r="L293" i="1" a="1"/>
  <c r="L293" i="1" s="1"/>
  <c r="L294" i="1" a="1"/>
  <c r="L294" i="1"/>
  <c r="L295" i="1" a="1"/>
  <c r="L295" i="1"/>
  <c r="M295" i="1" s="1"/>
  <c r="L296" i="1" a="1"/>
  <c r="L296" i="1" s="1"/>
  <c r="N296" i="1" s="1"/>
  <c r="L297" i="1" a="1"/>
  <c r="L297" i="1"/>
  <c r="N297" i="1" s="1"/>
  <c r="L298" i="1" a="1"/>
  <c r="L298" i="1"/>
  <c r="L299" i="1" a="1"/>
  <c r="L299" i="1" s="1"/>
  <c r="L300" i="1" a="1"/>
  <c r="L300" i="1" s="1"/>
  <c r="N300" i="1" s="1"/>
  <c r="L301" i="1" a="1"/>
  <c r="L301" i="1"/>
  <c r="M301" i="1" s="1"/>
  <c r="L302" i="1" a="1"/>
  <c r="L302" i="1" s="1"/>
  <c r="M302" i="1" s="1"/>
  <c r="L303" i="1" a="1"/>
  <c r="L303" i="1"/>
  <c r="N303" i="1" s="1"/>
  <c r="L304" i="1" a="1"/>
  <c r="L304" i="1" s="1"/>
  <c r="M304" i="1" s="1"/>
  <c r="L305" i="1" a="1"/>
  <c r="L305" i="1"/>
  <c r="C186" i="1"/>
  <c r="C187" i="1"/>
  <c r="C188" i="1"/>
  <c r="C189" i="1"/>
  <c r="C190" i="1"/>
  <c r="C191" i="1"/>
  <c r="C192" i="1"/>
  <c r="C193" i="1"/>
  <c r="C194" i="1"/>
  <c r="C195" i="1"/>
  <c r="C196" i="1"/>
  <c r="C197" i="1"/>
  <c r="C198" i="1"/>
  <c r="C199" i="1"/>
  <c r="C200" i="1"/>
  <c r="C201" i="1"/>
  <c r="C5" i="1"/>
  <c r="C6" i="1"/>
  <c r="C7" i="1"/>
  <c r="C8" i="1"/>
  <c r="C9" i="1"/>
  <c r="C10" i="1"/>
  <c r="C11" i="1"/>
  <c r="M265" i="1" l="1"/>
  <c r="N265" i="1"/>
  <c r="M258" i="1"/>
  <c r="N258" i="1"/>
  <c r="M292" i="1"/>
  <c r="N292" i="1"/>
  <c r="M253" i="1"/>
  <c r="N253" i="1"/>
  <c r="N215" i="1"/>
  <c r="M215" i="1"/>
  <c r="M207" i="1"/>
  <c r="N207" i="1"/>
  <c r="N221" i="1"/>
  <c r="M221" i="1"/>
  <c r="M305" i="1"/>
  <c r="N305" i="1"/>
  <c r="N274" i="1"/>
  <c r="M274" i="1"/>
  <c r="N220" i="1"/>
  <c r="M220" i="1"/>
  <c r="N273" i="1"/>
  <c r="M273" i="1"/>
  <c r="M219" i="1"/>
  <c r="N219" i="1"/>
  <c r="M300" i="1"/>
  <c r="N272" i="1"/>
  <c r="M272" i="1"/>
  <c r="M234" i="1"/>
  <c r="N234" i="1"/>
  <c r="M280" i="1"/>
  <c r="N280" i="1"/>
  <c r="M233" i="1"/>
  <c r="N233" i="1"/>
  <c r="N226" i="1"/>
  <c r="M226" i="1"/>
  <c r="N287" i="1"/>
  <c r="M287" i="1"/>
  <c r="M279" i="1"/>
  <c r="N279" i="1"/>
  <c r="M232" i="1"/>
  <c r="N232" i="1"/>
  <c r="N271" i="1"/>
  <c r="N286" i="1"/>
  <c r="M286" i="1"/>
  <c r="M278" i="1"/>
  <c r="N278" i="1"/>
  <c r="N298" i="1"/>
  <c r="M298" i="1"/>
  <c r="N213" i="1"/>
  <c r="M213" i="1"/>
  <c r="M208" i="1"/>
  <c r="N208" i="1"/>
  <c r="N299" i="1"/>
  <c r="M299" i="1"/>
  <c r="M291" i="1"/>
  <c r="N291" i="1"/>
  <c r="N261" i="1"/>
  <c r="M261" i="1"/>
  <c r="N251" i="1"/>
  <c r="M251" i="1"/>
  <c r="N214" i="1"/>
  <c r="M214" i="1"/>
  <c r="M252" i="1"/>
  <c r="M267" i="1"/>
  <c r="N267" i="1"/>
  <c r="N285" i="1"/>
  <c r="M285" i="1"/>
  <c r="M246" i="1"/>
  <c r="N246" i="1"/>
  <c r="N239" i="1"/>
  <c r="M239" i="1"/>
  <c r="N293" i="1"/>
  <c r="M293" i="1"/>
  <c r="M245" i="1"/>
  <c r="N245" i="1"/>
  <c r="M209" i="1"/>
  <c r="N209" i="1"/>
  <c r="M238" i="1"/>
  <c r="N304" i="1"/>
  <c r="N244" i="1"/>
  <c r="M297" i="1"/>
  <c r="N231" i="1"/>
  <c r="M296" i="1"/>
  <c r="M284" i="1"/>
  <c r="M224" i="1"/>
  <c r="M212" i="1"/>
  <c r="N302" i="1"/>
  <c r="N290" i="1"/>
  <c r="N218" i="1"/>
  <c r="M225" i="1"/>
  <c r="N243" i="1"/>
  <c r="N289" i="1"/>
  <c r="N277" i="1"/>
  <c r="M303" i="1"/>
  <c r="M237" i="1"/>
  <c r="N301" i="1"/>
  <c r="N229" i="1"/>
  <c r="N217" i="1"/>
  <c r="M230" i="1"/>
  <c r="M20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tc={1328E9C6-3162-47BE-9D22-50690C8735A8}</author>
    <author>tc={4140710B-99D7-4A8D-98D2-5E202E3A82CB}</author>
    <author>tc={D83A1EB1-3009-46F7-9A95-8B905692E6D7}</author>
    <author>tc={1A1F8662-E8D4-46ED-A327-8EDB23A57A2F}</author>
    <author>tc={CEFC73B1-9E91-4E64-BC32-229A6093B4AD}</author>
    <author>tc={53CDF178-71BD-483E-A72C-29453C5115B2}</author>
    <author>tc={14856B78-F677-477E-92A9-74E6D3F8A965}</author>
    <author>tc={40848621-FAA4-4AEA-A92A-C213B3EF13D4}</author>
    <author>tc={96F592C0-9AA7-4495-8A91-0BF4E3785C73}</author>
    <author>tc={D7FC5189-323F-4EFE-92AC-34668B009427}</author>
  </authors>
  <commentList>
    <comment ref="C3" authorId="0" shapeId="0" xr:uid="{1328E9C6-3162-47BE-9D22-50690C8735A8}">
      <text>
        <t>[Threaded comment]
Your version of Excel allows you to read this threaded comment; however, any edits to it will get removed if the file is opened in a newer version of Excel. Learn more: https://go.microsoft.com/fwlink/?linkid=870924
Comment:
    Formula used here is: =DATEDIF([@[Joining Date]],TODAY(),"Y") &amp; " Years, " &amp; DATEDIF([@[Joining Date]],TODAY(),"YM") &amp; " Months"</t>
      </text>
    </comment>
    <comment ref="B119" authorId="1" shapeId="0" xr:uid="{4140710B-99D7-4A8D-98D2-5E202E3A82CB}">
      <text>
        <t>[Threaded comment]
Your version of Excel allows you to read this threaded comment; however, any edits to it will get removed if the file is opened in a newer version of Excel. Learn more: https://go.microsoft.com/fwlink/?linkid=870924
Comment:
    Macro used here is: Sub FontColor()
Dim cell As Range
For Each cell In Range("b120:b129")
    If cell.Value &lt; 10 Then
        cell.Font.Color = RGB(255, 0, 0) 'Red Color
    ElseIf cell.Value &gt; 50 Then
        cell.Font.Color = RGB(0, 128, 0) 'Green color
    End If
Next cell
End Sub</t>
      </text>
    </comment>
    <comment ref="B184" authorId="2" shapeId="0" xr:uid="{D83A1EB1-3009-46F7-9A95-8B905692E6D7}">
      <text>
        <t>[Threaded comment]
Your version of Excel allows you to read this threaded comment; however, any edits to it will get removed if the file is opened in a newer version of Excel. Learn more: https://go.microsoft.com/fwlink/?linkid=870924
Comment:
    Data Validation is applied with a list drop down where any product can be selected from the drop down.</t>
      </text>
    </comment>
    <comment ref="C184" authorId="3" shapeId="0" xr:uid="{1A1F8662-E8D4-46ED-A327-8EDB23A57A2F}">
      <text>
        <t>[Threaded comment]
Your version of Excel allows you to read this threaded comment; however, any edits to it will get removed if the file is opened in a newer version of Excel. Learn more: https://go.microsoft.com/fwlink/?linkid=870924
Comment:
    Formula used here: =XLOOKUP(B185,Table4[Product Name],Table4[Quantity]) * XLOOKUP(B185,Table4[Product Name],Table4[Unit Price (?)])</t>
      </text>
    </comment>
    <comment ref="E205" authorId="4" shapeId="0" xr:uid="{CEFC73B1-9E91-4E64-BC32-229A6093B4AD}">
      <text>
        <t xml:space="preserve">[Threaded comment]
Your version of Excel allows you to read this threaded comment; however, any edits to it will get removed if the file is opened in a newer version of Excel. Learn more: https://go.microsoft.com/fwlink/?linkid=870924
Comment:
    Highlight any phone number that is not exactly 10 digits </t>
      </text>
    </comment>
    <comment ref="I205" authorId="5" shapeId="0" xr:uid="{53CDF178-71BD-483E-A72C-29453C5115B2}">
      <text>
        <t xml:space="preserve">[Threaded comment]
Your version of Excel allows you to read this threaded comment; however, any edits to it will get removed if the file is opened in a newer version of Excel. Learn more: https://go.microsoft.com/fwlink/?linkid=870924
Comment:
    Data validation in the Units Sold column to ensure only values between 1 and 20 are allowed </t>
      </text>
    </comment>
    <comment ref="J205" authorId="6" shapeId="0" xr:uid="{14856B78-F677-477E-92A9-74E6D3F8A965}">
      <text>
        <t xml:space="preserve">[Threaded comment]
Your version of Excel allows you to read this threaded comment; however, any edits to it will get removed if the file is opened in a newer version of Excel. Learn more: https://go.microsoft.com/fwlink/?linkid=870924
Comment:
    Highlight rows where Profit &gt; ₹5000 </t>
      </text>
    </comment>
    <comment ref="L205" authorId="7" shapeId="0" xr:uid="{40848621-FAA4-4AEA-A92A-C213B3EF13D4}">
      <text>
        <t>[Threaded comment]
Your version of Excel allows you to read this threaded comment; however, any edits to it will get removed if the file is opened in a newer version of Excel. Learn more: https://go.microsoft.com/fwlink/?linkid=870924
Comment:
    Formula used here to calculate the revenue is: =XLOOKUP([@Product],[Product],[Price])*XLOOKUP([@Product],[Product],$I$206:$I$305)</t>
      </text>
    </comment>
    <comment ref="M205" authorId="8" shapeId="0" xr:uid="{96F592C0-9AA7-4495-8A91-0BF4E3785C73}">
      <text>
        <t>[Threaded comment]
Your version of Excel allows you to read this threaded comment; however, any edits to it will get removed if the file is opened in a newer version of Excel. Learn more: https://go.microsoft.com/fwlink/?linkid=870924
Comment:
    Formula used here to separate the category: =IF(L206&gt;=15000,"High",IF(L206&gt;=5000,"Medium","Low"))</t>
      </text>
    </comment>
    <comment ref="N205" authorId="9" shapeId="0" xr:uid="{D7FC5189-323F-4EFE-92AC-34668B009427}">
      <text>
        <t>[Threaded comment]
Your version of Excel allows you to read this threaded comment; however, any edits to it will get removed if the file is opened in a newer version of Excel. Learn more: https://go.microsoft.com/fwlink/?linkid=870924
Comment:
    For 2 decimal places: =ROUND(([@Profit]/[@[Revenue Generated]])*100,2)</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<sst xmlns="http://schemas.openxmlformats.org/spreadsheetml/2006/main" count="1868" uniqueCount="447">
  <si>
    <t>Employee Name</t>
  </si>
  <si>
    <t>Joining Date</t>
  </si>
  <si>
    <t>Experience</t>
  </si>
  <si>
    <t>Kritika Saxena</t>
  </si>
  <si>
    <t>John Fredrick</t>
  </si>
  <si>
    <t>Valentina Fernandis</t>
  </si>
  <si>
    <t>Kaveri Acharya</t>
  </si>
  <si>
    <t>Bhavesh Kumar</t>
  </si>
  <si>
    <t>Ibrahim Khan</t>
  </si>
  <si>
    <t>Shruti Anchan</t>
  </si>
  <si>
    <t>Hiba Sayyed</t>
  </si>
  <si>
    <r>
      <rPr>
        <b/>
        <sz val="11"/>
        <color theme="1"/>
        <rFont val="Aptos Narrow"/>
        <family val="2"/>
        <scheme val="minor"/>
      </rPr>
      <t>Question 6 : Create a dataset of 8 employees with joining dates. Use the dummy dataset to calculate their experience in years and month</t>
    </r>
    <r>
      <rPr>
        <sz val="11"/>
        <color theme="1"/>
        <rFont val="Aptos Narrow"/>
        <family val="2"/>
        <scheme val="minor"/>
      </rPr>
      <t>s.</t>
    </r>
  </si>
  <si>
    <t>Answer :</t>
  </si>
  <si>
    <t>Question 7 : You are provided with a dataset containing details of 100 road accidents.Design a Road Accident Analysis Dashboard using Pivot Tables and Slicers in Excel.</t>
  </si>
  <si>
    <t>Answer:</t>
  </si>
  <si>
    <t>Accident ID</t>
  </si>
  <si>
    <t>Date</t>
  </si>
  <si>
    <t>Location</t>
  </si>
  <si>
    <t>Accident Type</t>
  </si>
  <si>
    <t>Vehicle Type</t>
  </si>
  <si>
    <t>Weather Condition</t>
  </si>
  <si>
    <t>Road Condition</t>
  </si>
  <si>
    <t>Severity</t>
  </si>
  <si>
    <t>Cause</t>
  </si>
  <si>
    <t>Casualties</t>
  </si>
  <si>
    <t>AID0001</t>
  </si>
  <si>
    <t>Hyderabad</t>
  </si>
  <si>
    <t>Overturn</t>
  </si>
  <si>
    <t>Auto-Rickshaw</t>
  </si>
  <si>
    <t>Clear</t>
  </si>
  <si>
    <t>Dry</t>
  </si>
  <si>
    <t>Moderate</t>
  </si>
  <si>
    <t>Overtaking</t>
  </si>
  <si>
    <t>AID0002</t>
  </si>
  <si>
    <t>Mumbai</t>
  </si>
  <si>
    <t>Foggy</t>
  </si>
  <si>
    <t>Damaged</t>
  </si>
  <si>
    <t>Distracted Driving</t>
  </si>
  <si>
    <t>AID0003</t>
  </si>
  <si>
    <t>Bicycle</t>
  </si>
  <si>
    <t>Windy</t>
  </si>
  <si>
    <t>Under Construction</t>
  </si>
  <si>
    <t>Fatal</t>
  </si>
  <si>
    <t>AID0004</t>
  </si>
  <si>
    <t>Pune</t>
  </si>
  <si>
    <t>Collision</t>
  </si>
  <si>
    <t>Truck</t>
  </si>
  <si>
    <t>Brake Failure</t>
  </si>
  <si>
    <t>AID0005</t>
  </si>
  <si>
    <t>Bangalore</t>
  </si>
  <si>
    <t>Animal Hit</t>
  </si>
  <si>
    <t>Weather</t>
  </si>
  <si>
    <t>AID0006</t>
  </si>
  <si>
    <t>Car</t>
  </si>
  <si>
    <t>Rainy</t>
  </si>
  <si>
    <t>Minor</t>
  </si>
  <si>
    <t>Drunk Driving</t>
  </si>
  <si>
    <t>AID0007</t>
  </si>
  <si>
    <t>Delhi</t>
  </si>
  <si>
    <t>Speeding</t>
  </si>
  <si>
    <t>AID0008</t>
  </si>
  <si>
    <t>Wet</t>
  </si>
  <si>
    <t>AID0009</t>
  </si>
  <si>
    <t>AID0010</t>
  </si>
  <si>
    <t>Ahmedabad</t>
  </si>
  <si>
    <t>Motorcycle</t>
  </si>
  <si>
    <t>Severe</t>
  </si>
  <si>
    <t>AID0011</t>
  </si>
  <si>
    <t>Object Hit</t>
  </si>
  <si>
    <t>AID0012</t>
  </si>
  <si>
    <t>Pedestrian Hit</t>
  </si>
  <si>
    <t>AID0013</t>
  </si>
  <si>
    <t>AID0014</t>
  </si>
  <si>
    <t>Chennai</t>
  </si>
  <si>
    <t>Bus</t>
  </si>
  <si>
    <t>AID0015</t>
  </si>
  <si>
    <t>AID0016</t>
  </si>
  <si>
    <t>AID0017</t>
  </si>
  <si>
    <t>AID0018</t>
  </si>
  <si>
    <t>Kolkata</t>
  </si>
  <si>
    <t>AID0019</t>
  </si>
  <si>
    <t>AID0020</t>
  </si>
  <si>
    <t>AID0021</t>
  </si>
  <si>
    <t>AID0022</t>
  </si>
  <si>
    <t>AID0023</t>
  </si>
  <si>
    <t>AID0024</t>
  </si>
  <si>
    <t>AID0025</t>
  </si>
  <si>
    <t>AID0026</t>
  </si>
  <si>
    <t>AID0027</t>
  </si>
  <si>
    <t>AID0028</t>
  </si>
  <si>
    <t>AID0029</t>
  </si>
  <si>
    <t>AID0030</t>
  </si>
  <si>
    <t>AID0031</t>
  </si>
  <si>
    <t>AID0032</t>
  </si>
  <si>
    <t>AID0033</t>
  </si>
  <si>
    <t>AID0034</t>
  </si>
  <si>
    <t>AID0035</t>
  </si>
  <si>
    <t>AID0036</t>
  </si>
  <si>
    <t>AID0037</t>
  </si>
  <si>
    <t>AID0038</t>
  </si>
  <si>
    <t>AID0039</t>
  </si>
  <si>
    <t>AID0040</t>
  </si>
  <si>
    <t>AID0041</t>
  </si>
  <si>
    <t>AID0042</t>
  </si>
  <si>
    <t>AID0043</t>
  </si>
  <si>
    <t>AID0044</t>
  </si>
  <si>
    <t>AID0045</t>
  </si>
  <si>
    <t>AID0046</t>
  </si>
  <si>
    <t>AID0047</t>
  </si>
  <si>
    <t>AID0048</t>
  </si>
  <si>
    <t>AID0049</t>
  </si>
  <si>
    <t>AID0050</t>
  </si>
  <si>
    <t>AID0051</t>
  </si>
  <si>
    <t>AID0052</t>
  </si>
  <si>
    <t>AID0053</t>
  </si>
  <si>
    <t>AID0054</t>
  </si>
  <si>
    <t>AID0055</t>
  </si>
  <si>
    <t>AID0056</t>
  </si>
  <si>
    <t>AID0057</t>
  </si>
  <si>
    <t>AID0058</t>
  </si>
  <si>
    <t>AID0059</t>
  </si>
  <si>
    <t>AID0060</t>
  </si>
  <si>
    <t>AID0061</t>
  </si>
  <si>
    <t>AID0062</t>
  </si>
  <si>
    <t>AID0063</t>
  </si>
  <si>
    <t>AID0064</t>
  </si>
  <si>
    <t>AID0065</t>
  </si>
  <si>
    <t>AID0066</t>
  </si>
  <si>
    <t>AID0067</t>
  </si>
  <si>
    <t>AID0068</t>
  </si>
  <si>
    <t>AID0069</t>
  </si>
  <si>
    <t>AID0070</t>
  </si>
  <si>
    <t>AID0071</t>
  </si>
  <si>
    <t>AID0072</t>
  </si>
  <si>
    <t>AID0073</t>
  </si>
  <si>
    <t>AID0074</t>
  </si>
  <si>
    <t>AID0075</t>
  </si>
  <si>
    <t>AID0076</t>
  </si>
  <si>
    <t>AID0077</t>
  </si>
  <si>
    <t>AID0078</t>
  </si>
  <si>
    <t>AID0079</t>
  </si>
  <si>
    <t>AID0080</t>
  </si>
  <si>
    <t>AID0081</t>
  </si>
  <si>
    <t>AID0082</t>
  </si>
  <si>
    <t>AID0083</t>
  </si>
  <si>
    <t>AID0084</t>
  </si>
  <si>
    <t>AID0085</t>
  </si>
  <si>
    <t>AID0086</t>
  </si>
  <si>
    <t>AID0087</t>
  </si>
  <si>
    <t>AID0088</t>
  </si>
  <si>
    <t>AID0089</t>
  </si>
  <si>
    <t>AID0090</t>
  </si>
  <si>
    <t>AID0091</t>
  </si>
  <si>
    <t>AID0092</t>
  </si>
  <si>
    <t>AID0093</t>
  </si>
  <si>
    <t>AID0094</t>
  </si>
  <si>
    <t>AID0095</t>
  </si>
  <si>
    <t>AID0096</t>
  </si>
  <si>
    <t>AID0097</t>
  </si>
  <si>
    <t>AID0098</t>
  </si>
  <si>
    <t>AID0099</t>
  </si>
  <si>
    <t>AID0100</t>
  </si>
  <si>
    <t>Row Labels</t>
  </si>
  <si>
    <t>Grand Total</t>
  </si>
  <si>
    <t>Column Labels</t>
  </si>
  <si>
    <t>Sum of Casualties</t>
  </si>
  <si>
    <t>Question 8 : Create a table of 10 products with stock levels. Use Macros to highlight: ● Low stock (less than 10 units) in red ● Overstock (more than 50 units) in green.</t>
  </si>
  <si>
    <t>Products</t>
  </si>
  <si>
    <t>Stock Level</t>
  </si>
  <si>
    <t>Laptop</t>
  </si>
  <si>
    <t>Printer</t>
  </si>
  <si>
    <t>Monitor</t>
  </si>
  <si>
    <t>Router</t>
  </si>
  <si>
    <t>Samsung</t>
  </si>
  <si>
    <t>Apple</t>
  </si>
  <si>
    <t>Nokia</t>
  </si>
  <si>
    <t>Redmi</t>
  </si>
  <si>
    <t>Sony</t>
  </si>
  <si>
    <t>Huawei</t>
  </si>
  <si>
    <t>Xiaomi</t>
  </si>
  <si>
    <t>Google</t>
  </si>
  <si>
    <t>OnePlus</t>
  </si>
  <si>
    <t>Vivo</t>
  </si>
  <si>
    <t>Question 9 : You are given a dataset : Create a drop-down list of product names in a separate cell using Data Validation, and write a formula in the adjacent cell so that when a product is selected from the drop-down, its corresponding price is automatically displayed.</t>
  </si>
  <si>
    <t>Order ID</t>
  </si>
  <si>
    <t>Customer Name</t>
  </si>
  <si>
    <t>Region</t>
  </si>
  <si>
    <t>Product Category</t>
  </si>
  <si>
    <t>Product Name</t>
  </si>
  <si>
    <t>Quantity</t>
  </si>
  <si>
    <t>Unit Price (?)</t>
  </si>
  <si>
    <t>Total Sales (?)</t>
  </si>
  <si>
    <t>Profit Margin (%)</t>
  </si>
  <si>
    <t>Customer Age</t>
  </si>
  <si>
    <t>Payment Mode</t>
  </si>
  <si>
    <t>Rahul Sharma</t>
  </si>
  <si>
    <t>North India</t>
  </si>
  <si>
    <t>Electronics</t>
  </si>
  <si>
    <t>Smartwatch</t>
  </si>
  <si>
    <t>Credit Card</t>
  </si>
  <si>
    <t>Amit Verma</t>
  </si>
  <si>
    <t>West India</t>
  </si>
  <si>
    <t>Home Decor</t>
  </si>
  <si>
    <t>Wall Clock</t>
  </si>
  <si>
    <t>COD</t>
  </si>
  <si>
    <t>Sneha Kapoor</t>
  </si>
  <si>
    <t>East India</t>
  </si>
  <si>
    <t>Bluetooth Speaker</t>
  </si>
  <si>
    <t>NetBanking</t>
  </si>
  <si>
    <t>Rajesh Kumar</t>
  </si>
  <si>
    <t>Fashion</t>
  </si>
  <si>
    <t>Jeans</t>
  </si>
  <si>
    <t>Priya Singh</t>
  </si>
  <si>
    <t>South India</t>
  </si>
  <si>
    <t>UPI</t>
  </si>
  <si>
    <t>Karan Malhotra</t>
  </si>
  <si>
    <t>Sofa Set</t>
  </si>
  <si>
    <t>Neha Gupta</t>
  </si>
  <si>
    <t>Dress</t>
  </si>
  <si>
    <t>Vikram Patel</t>
  </si>
  <si>
    <t>Smartphone</t>
  </si>
  <si>
    <t>Ayesha Kapoor</t>
  </si>
  <si>
    <t>Dining Table Set</t>
  </si>
  <si>
    <t>Amitabh Verma</t>
  </si>
  <si>
    <t>Leather Jacket</t>
  </si>
  <si>
    <t>Sneha Gupta</t>
  </si>
  <si>
    <t>Headphones</t>
  </si>
  <si>
    <t>Nikhil Kumar</t>
  </si>
  <si>
    <t>Floor Lamp</t>
  </si>
  <si>
    <t>Meera Sharma</t>
  </si>
  <si>
    <t>Sneakers</t>
  </si>
  <si>
    <t>Aditya Verma</t>
  </si>
  <si>
    <t>Gaming Console</t>
  </si>
  <si>
    <t>Rohan Malhotra</t>
  </si>
  <si>
    <t>Drone Camera</t>
  </si>
  <si>
    <t>Neha Kapoor</t>
  </si>
  <si>
    <t>TV</t>
  </si>
  <si>
    <t>Kunal Singh</t>
  </si>
  <si>
    <t>Smart Glasses</t>
  </si>
  <si>
    <t>Alisha Roy</t>
  </si>
  <si>
    <t>Recliner Sofa</t>
  </si>
  <si>
    <t>Tarun Mishra</t>
  </si>
  <si>
    <t>Washing Machine</t>
  </si>
  <si>
    <t>Pooja Nair</t>
  </si>
  <si>
    <t>Earbuds</t>
  </si>
  <si>
    <t>Manish Tiwari</t>
  </si>
  <si>
    <t>Formal Shirt</t>
  </si>
  <si>
    <t>Shreya Desai</t>
  </si>
  <si>
    <t>Coffee Table</t>
  </si>
  <si>
    <t>Kabir Joshi</t>
  </si>
  <si>
    <t>Air Conditioner</t>
  </si>
  <si>
    <t>Anita Yadav</t>
  </si>
  <si>
    <t>Running Shoes</t>
  </si>
  <si>
    <t>Vivek Chopra</t>
  </si>
  <si>
    <t>Tablet</t>
  </si>
  <si>
    <t>Simran Kaur</t>
  </si>
  <si>
    <t>Neckband</t>
  </si>
  <si>
    <t>Nitin Bansal</t>
  </si>
  <si>
    <t>Bookshelf</t>
  </si>
  <si>
    <t>Rekha Reddy</t>
  </si>
  <si>
    <t>Microwave</t>
  </si>
  <si>
    <t>Gautam Saxena</t>
  </si>
  <si>
    <t>Backpack</t>
  </si>
  <si>
    <t>Preeti Rawat</t>
  </si>
  <si>
    <t>Gaming Mouse</t>
  </si>
  <si>
    <t>Ashok Sharma</t>
  </si>
  <si>
    <t>Leather Wallet</t>
  </si>
  <si>
    <t>Divya Nair</t>
  </si>
  <si>
    <t>Ceiling Fan</t>
  </si>
  <si>
    <t>Kiran Kapoor</t>
  </si>
  <si>
    <t>Sports Watch</t>
  </si>
  <si>
    <t>Yash Malhotra</t>
  </si>
  <si>
    <t>Anurag Verma</t>
  </si>
  <si>
    <t>Smart Bulb</t>
  </si>
  <si>
    <t>Ritika Shah</t>
  </si>
  <si>
    <t>Office Chair</t>
  </si>
  <si>
    <t>Tanmay Goel</t>
  </si>
  <si>
    <t>Blender</t>
  </si>
  <si>
    <t>Varun Singh</t>
  </si>
  <si>
    <t>Perfume</t>
  </si>
  <si>
    <t>Payal Mehta</t>
  </si>
  <si>
    <t>Power Bank</t>
  </si>
  <si>
    <t>Snehal Desai</t>
  </si>
  <si>
    <t>LED Bulb</t>
  </si>
  <si>
    <t>Ajay Patel</t>
  </si>
  <si>
    <t>Gym Gloves</t>
  </si>
  <si>
    <t>Kritika Gupta</t>
  </si>
  <si>
    <t>Wall Art</t>
  </si>
  <si>
    <t>Dinesh Nair</t>
  </si>
  <si>
    <t>Priyanka Rao</t>
  </si>
  <si>
    <t>Sunglasses</t>
  </si>
  <si>
    <t>Harsh Malhotra</t>
  </si>
  <si>
    <t>Speaker</t>
  </si>
  <si>
    <t>Lavanya Kapoor</t>
  </si>
  <si>
    <t>Trolley Bag</t>
  </si>
  <si>
    <t>Aniket Shah</t>
  </si>
  <si>
    <t>Curtains</t>
  </si>
  <si>
    <t>Niharika Joshi</t>
  </si>
  <si>
    <t>Induction Stove</t>
  </si>
  <si>
    <t>Ravi Sharma</t>
  </si>
  <si>
    <t>Travel Pillow</t>
  </si>
  <si>
    <t>Price</t>
  </si>
  <si>
    <t>Question 10 : Case Scenario :-</t>
  </si>
  <si>
    <t>You are a data analyst working for a retail firm. You’ve received a sales dataset that includes customer transactions from various regions and product categories. Your job is to analyze this data, clean inconsistencies, extract insights, and build visual reports. Task : 1. Apply data validation in the Units Sold column to ensure only values between 1 and 20 are allowed. 2. Highlight rows where Profit &gt; ₹5000 3. Highlight any phone number that is not exactly 10 digits 4. Find the Revenue generated by each product and also label according to revenue generated as “High”, “Medium”, “Low”. 5. Find the profit percentage up to two decimal places. 6. Show Total Revenue and Total Profit by Region. 7. Show Average Units Sold per Product Category.</t>
  </si>
  <si>
    <t>Customer ID</t>
  </si>
  <si>
    <t>Country</t>
  </si>
  <si>
    <t>State</t>
  </si>
  <si>
    <t>Phone Number</t>
  </si>
  <si>
    <t>Category</t>
  </si>
  <si>
    <t>Product</t>
  </si>
  <si>
    <t>Units Sold</t>
  </si>
  <si>
    <t>Profit</t>
  </si>
  <si>
    <t>Mode of Payment</t>
  </si>
  <si>
    <t>Revenue Label</t>
  </si>
  <si>
    <t>Profit %</t>
  </si>
  <si>
    <t>CUST1000</t>
  </si>
  <si>
    <t>West</t>
  </si>
  <si>
    <t>India</t>
  </si>
  <si>
    <t>Karnataka</t>
  </si>
  <si>
    <t>Clothing</t>
  </si>
  <si>
    <t>Shirt</t>
  </si>
  <si>
    <t>CUST1001</t>
  </si>
  <si>
    <t>Furniture</t>
  </si>
  <si>
    <t>Table</t>
  </si>
  <si>
    <t>Net Banking</t>
  </si>
  <si>
    <t>CUST1002</t>
  </si>
  <si>
    <t>South</t>
  </si>
  <si>
    <t>West Bengal</t>
  </si>
  <si>
    <t>T-shirt</t>
  </si>
  <si>
    <t>CUST1003</t>
  </si>
  <si>
    <t>Sofa</t>
  </si>
  <si>
    <t>Cash</t>
  </si>
  <si>
    <t>CUST1004</t>
  </si>
  <si>
    <t>CUST1005</t>
  </si>
  <si>
    <t>CUST1006</t>
  </si>
  <si>
    <t>East</t>
  </si>
  <si>
    <t>Tamil Nadu</t>
  </si>
  <si>
    <t>CUST1007</t>
  </si>
  <si>
    <t>Chair</t>
  </si>
  <si>
    <t>CUST1008</t>
  </si>
  <si>
    <t>Maharashtra</t>
  </si>
  <si>
    <t>CUST1009</t>
  </si>
  <si>
    <t>Gujarat</t>
  </si>
  <si>
    <t>CUST1010</t>
  </si>
  <si>
    <t>Rajasthan</t>
  </si>
  <si>
    <t>CUST1011</t>
  </si>
  <si>
    <t>CUST1012</t>
  </si>
  <si>
    <t>North</t>
  </si>
  <si>
    <t>CUST1013</t>
  </si>
  <si>
    <t>CUST1014</t>
  </si>
  <si>
    <t>CUST1015</t>
  </si>
  <si>
    <t>CUST1016</t>
  </si>
  <si>
    <t>Jacket</t>
  </si>
  <si>
    <t>Debit Card</t>
  </si>
  <si>
    <t>CUST1017</t>
  </si>
  <si>
    <t>Uttar Pradesh</t>
  </si>
  <si>
    <t>CUST1018</t>
  </si>
  <si>
    <t>CUST1019</t>
  </si>
  <si>
    <t>CUST1020</t>
  </si>
  <si>
    <t>CUST1021</t>
  </si>
  <si>
    <t>CUST1022</t>
  </si>
  <si>
    <t>CUST1023</t>
  </si>
  <si>
    <t>CUST1024</t>
  </si>
  <si>
    <t>CUST1025</t>
  </si>
  <si>
    <t>CUST1026</t>
  </si>
  <si>
    <t>CUST1027</t>
  </si>
  <si>
    <t>CUST1028</t>
  </si>
  <si>
    <t>CUST1029</t>
  </si>
  <si>
    <t>Cupboard</t>
  </si>
  <si>
    <t>CUST1030</t>
  </si>
  <si>
    <t>CUST1031</t>
  </si>
  <si>
    <t>CUST1032</t>
  </si>
  <si>
    <t>CUST1033</t>
  </si>
  <si>
    <t>CUST1034</t>
  </si>
  <si>
    <t>CUST1035</t>
  </si>
  <si>
    <t>CUST1036</t>
  </si>
  <si>
    <t>CUST1037</t>
  </si>
  <si>
    <t>CUST1038</t>
  </si>
  <si>
    <t>CUST1039</t>
  </si>
  <si>
    <t>CUST1040</t>
  </si>
  <si>
    <t>CUST1041</t>
  </si>
  <si>
    <t>CUST1042</t>
  </si>
  <si>
    <t>CUST1043</t>
  </si>
  <si>
    <t>CUST1044</t>
  </si>
  <si>
    <t>CUST1045</t>
  </si>
  <si>
    <t>CUST1046</t>
  </si>
  <si>
    <t>CUST1047</t>
  </si>
  <si>
    <t>CUST1048</t>
  </si>
  <si>
    <t>CUST1049</t>
  </si>
  <si>
    <t>CUST1050</t>
  </si>
  <si>
    <t>CUST1051</t>
  </si>
  <si>
    <t>CUST1052</t>
  </si>
  <si>
    <t>CUST1053</t>
  </si>
  <si>
    <t>CUST1054</t>
  </si>
  <si>
    <t>CUST1055</t>
  </si>
  <si>
    <t>CUST1056</t>
  </si>
  <si>
    <t>CUST1057</t>
  </si>
  <si>
    <t>CUST1058</t>
  </si>
  <si>
    <t>CUST1059</t>
  </si>
  <si>
    <t>CUST1060</t>
  </si>
  <si>
    <t>CUST1061</t>
  </si>
  <si>
    <t>CUST1062</t>
  </si>
  <si>
    <t>CUST1063</t>
  </si>
  <si>
    <t>CUST1064</t>
  </si>
  <si>
    <t>CUST1065</t>
  </si>
  <si>
    <t>CUST1066</t>
  </si>
  <si>
    <t>CUST1067</t>
  </si>
  <si>
    <t>CUST1068</t>
  </si>
  <si>
    <t>CUST1069</t>
  </si>
  <si>
    <t>CUST1070</t>
  </si>
  <si>
    <t>CUST1071</t>
  </si>
  <si>
    <t>CUST1072</t>
  </si>
  <si>
    <t>CUST1073</t>
  </si>
  <si>
    <t>CUST1074</t>
  </si>
  <si>
    <t>CUST1075</t>
  </si>
  <si>
    <t>CUST1076</t>
  </si>
  <si>
    <t>CUST1077</t>
  </si>
  <si>
    <t>CUST1078</t>
  </si>
  <si>
    <t>CUST1079</t>
  </si>
  <si>
    <t>CUST1080</t>
  </si>
  <si>
    <t>CUST1081</t>
  </si>
  <si>
    <t>CUST1082</t>
  </si>
  <si>
    <t>CUST1083</t>
  </si>
  <si>
    <t>CUST1084</t>
  </si>
  <si>
    <t>CUST1085</t>
  </si>
  <si>
    <t>CUST1086</t>
  </si>
  <si>
    <t>CUST1087</t>
  </si>
  <si>
    <t>CUST1088</t>
  </si>
  <si>
    <t>CUST1089</t>
  </si>
  <si>
    <t>CUST1090</t>
  </si>
  <si>
    <t>CUST1091</t>
  </si>
  <si>
    <t>CUST1092</t>
  </si>
  <si>
    <t>CUST1093</t>
  </si>
  <si>
    <t>CUST1094</t>
  </si>
  <si>
    <t>CUST1095</t>
  </si>
  <si>
    <t>CUST1096</t>
  </si>
  <si>
    <t>CUST1097</t>
  </si>
  <si>
    <t>CUST1098</t>
  </si>
  <si>
    <t>CUST1099</t>
  </si>
  <si>
    <t>Sum of Revenue</t>
  </si>
  <si>
    <t>Sum of Profit</t>
  </si>
  <si>
    <t>Show Total Revenue and Total Profit by Region</t>
  </si>
  <si>
    <t>Average of Units Sold</t>
  </si>
  <si>
    <t>Show Average Units Sold per Product Category.</t>
  </si>
  <si>
    <t>Revenue Generated</t>
  </si>
  <si>
    <t>Data Validation and Price in the adjacent column</t>
  </si>
  <si>
    <t>The Dashboard is in the next sheet i.e Dashboard-Question 7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</si>
</sst>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sz val="14"/>
      <color theme="1"/>
      <name val="Amasis MT Pro"/>
      <family val="1"/>
    </font>
    <font>
      <b/>
      <sz val="10"/>
      <color theme="1"/>
      <name val="Arial"/>
      <family val="2"/>
    </font>
    <font>
      <sz val="10"/>
      <color theme="1"/>
      <name val="Arial"/>
      <family val="2"/>
    </font>
    <font>
      <sz val="11"/>
      <color theme="5" tint="-0.249977111117893"/>
      <name val="Aptos Narrow"/>
      <family val="2"/>
      <scheme val="minor"/>
    </font>
    <font>
      <sz val="11"/>
      <color rgb="FF008000"/>
      <name val="Aptos Narrow"/>
      <family val="2"/>
      <scheme val="minor"/>
    </font>
    <font>
      <b/>
      <sz val="11"/>
      <color theme="1"/>
      <name val="Calibri"/>
      <family val="2"/>
    </font>
    <font>
      <sz val="11"/>
      <color theme="1"/>
      <name val="Calibri"/>
      <family val="2"/>
    </font>
    <font>
      <b/>
      <sz val="11"/>
      <color rgb="FF000000"/>
      <name val="Calibri"/>
      <family val="2"/>
    </font>
    <font>
      <sz val="11"/>
      <color rgb="FF000000"/>
      <name val="Calibri"/>
      <family val="2"/>
    </font>
    <font>
      <sz val="11"/>
      <color rgb="FF9C0006"/>
      <name val="Calibri"/>
      <family val="2"/>
    </font>
    <font>
      <sz val="11"/>
      <color rgb="FF9C5700"/>
      <name val="Calibri"/>
      <family val="2"/>
    </font>
    <font>
      <sz val="9"/>
      <color indexed="81"/>
      <name val="Tahoma"/>
      <family val="2"/>
    </font>
  </fonts>
  <fills count="7">
    <fill>
      <patternFill patternType="none"/>
    </fill>
    <fill>
      <patternFill patternType="gray125"/>
    </fill>
    <fill>
      <patternFill patternType="solid">
        <fgColor theme="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C7CE"/>
        <bgColor rgb="FF000000"/>
      </patternFill>
    </fill>
    <fill>
      <patternFill patternType="solid">
        <fgColor rgb="FFFFEB9C"/>
        <bgColor rgb="FF000000"/>
      </patternFill>
    </fill>
  </fills>
  <borders count="14">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style="thin">
        <color theme="1"/>
      </top>
      <bottom style="medium">
        <color rgb="FFCCCCCC"/>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bottom style="medium">
        <color rgb="FF000000"/>
      </bottom>
      <diagonal/>
    </border>
    <border>
      <left style="medium">
        <color rgb="FFCCCCCC"/>
      </left>
      <right style="medium">
        <color rgb="FF000000"/>
      </right>
      <top/>
      <bottom style="medium">
        <color rgb="FF000000"/>
      </bottom>
      <diagonal/>
    </border>
  </borders>
  <cellStyleXfs count="1">
    <xf numFmtId="0" fontId="0" fillId="0" borderId="0"/>
  </cellStyleXfs>
  <cellXfs count="41">
    <xf numFmtId="0" fontId="0" fillId="0" borderId="0" xfId="0"/>
    <xf numFmtId="0" fontId="4" fillId="0" borderId="0" xfId="0" applyFont="1"/>
    <xf numFmtId="14" fontId="4" fillId="0" borderId="0" xfId="0" applyNumberFormat="1" applyFont="1"/>
    <xf numFmtId="0" fontId="2" fillId="0" borderId="0" xfId="0" applyFont="1"/>
    <xf numFmtId="0" fontId="6" fillId="0" borderId="1" xfId="0" applyFont="1" applyBorder="1" applyAlignment="1">
      <alignment wrapText="1"/>
    </xf>
    <xf numFmtId="14" fontId="6" fillId="0" borderId="1" xfId="0" applyNumberFormat="1" applyFont="1" applyBorder="1" applyAlignment="1">
      <alignment horizontal="right" wrapText="1"/>
    </xf>
    <xf numFmtId="0" fontId="6" fillId="0" borderId="2" xfId="0" applyFont="1" applyBorder="1" applyAlignment="1">
      <alignment wrapText="1"/>
    </xf>
    <xf numFmtId="0" fontId="6" fillId="0" borderId="3" xfId="0" applyFont="1" applyBorder="1" applyAlignment="1">
      <alignment horizontal="right" wrapText="1"/>
    </xf>
    <xf numFmtId="0" fontId="5" fillId="0" borderId="4" xfId="0" applyFont="1" applyBorder="1" applyAlignment="1">
      <alignment wrapText="1"/>
    </xf>
    <xf numFmtId="0" fontId="5" fillId="0" borderId="5" xfId="0" applyFont="1" applyBorder="1" applyAlignment="1">
      <alignment wrapText="1"/>
    </xf>
    <xf numFmtId="0" fontId="5" fillId="0" borderId="6" xfId="0" applyFont="1" applyBorder="1" applyAlignment="1">
      <alignment wrapText="1"/>
    </xf>
    <xf numFmtId="0" fontId="6" fillId="0" borderId="7" xfId="0" applyFont="1" applyBorder="1" applyAlignment="1">
      <alignment wrapText="1"/>
    </xf>
    <xf numFmtId="14" fontId="6" fillId="0" borderId="8" xfId="0" applyNumberFormat="1" applyFont="1" applyBorder="1" applyAlignment="1">
      <alignment horizontal="right" wrapText="1"/>
    </xf>
    <xf numFmtId="0" fontId="6" fillId="0" borderId="8" xfId="0" applyFont="1" applyBorder="1" applyAlignment="1">
      <alignment wrapText="1"/>
    </xf>
    <xf numFmtId="0" fontId="6" fillId="0" borderId="9" xfId="0" applyFont="1" applyBorder="1" applyAlignment="1">
      <alignment horizontal="right"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7" fillId="4" borderId="11" xfId="0" applyFont="1" applyFill="1" applyBorder="1"/>
    <xf numFmtId="0" fontId="7" fillId="4" borderId="11" xfId="0" applyFont="1" applyFill="1" applyBorder="1" applyAlignment="1">
      <alignment horizontal="left"/>
    </xf>
    <xf numFmtId="0" fontId="7" fillId="4" borderId="11" xfId="0" applyNumberFormat="1" applyFont="1" applyFill="1" applyBorder="1"/>
    <xf numFmtId="0" fontId="1" fillId="0" borderId="0" xfId="0" applyFont="1"/>
    <xf numFmtId="0" fontId="8" fillId="0" borderId="0" xfId="0" applyFont="1"/>
    <xf numFmtId="0" fontId="10" fillId="0" borderId="1" xfId="0" applyFont="1" applyBorder="1" applyAlignment="1">
      <alignment horizontal="right" wrapText="1"/>
    </xf>
    <xf numFmtId="14" fontId="10" fillId="0" borderId="1" xfId="0" applyNumberFormat="1" applyFont="1" applyBorder="1" applyAlignment="1">
      <alignment wrapText="1"/>
    </xf>
    <xf numFmtId="0" fontId="10" fillId="0" borderId="1" xfId="0" applyFont="1" applyBorder="1" applyAlignment="1">
      <alignment wrapText="1"/>
    </xf>
    <xf numFmtId="0" fontId="9" fillId="0" borderId="12" xfId="0" applyFont="1" applyBorder="1" applyAlignment="1">
      <alignment horizontal="center" vertical="top" wrapText="1"/>
    </xf>
    <xf numFmtId="0" fontId="9" fillId="0" borderId="13" xfId="0" applyFont="1" applyBorder="1" applyAlignment="1">
      <alignment horizontal="center" vertical="top" wrapText="1"/>
    </xf>
    <xf numFmtId="0" fontId="10" fillId="0" borderId="8" xfId="0" applyFont="1" applyBorder="1" applyAlignment="1">
      <alignment horizontal="right" wrapText="1"/>
    </xf>
    <xf numFmtId="14" fontId="10" fillId="0" borderId="8" xfId="0" applyNumberFormat="1" applyFont="1" applyBorder="1" applyAlignment="1">
      <alignment wrapText="1"/>
    </xf>
    <xf numFmtId="0" fontId="10" fillId="0" borderId="8" xfId="0" applyFont="1" applyBorder="1" applyAlignment="1">
      <alignment wrapText="1"/>
    </xf>
    <xf numFmtId="0" fontId="11" fillId="0" borderId="0" xfId="0" applyFont="1"/>
    <xf numFmtId="0" fontId="12" fillId="0" borderId="0" xfId="0" applyFont="1"/>
    <xf numFmtId="0" fontId="13" fillId="5" borderId="0" xfId="0" applyFont="1" applyFill="1"/>
    <xf numFmtId="0" fontId="14" fillId="6" borderId="0" xfId="0" applyFont="1" applyFill="1"/>
    <xf numFmtId="0" fontId="11" fillId="0" borderId="0" xfId="0" applyNumberFormat="1" applyFont="1"/>
    <xf numFmtId="0" fontId="12" fillId="0" borderId="0" xfId="0" applyNumberFormat="1" applyFont="1" applyAlignment="1">
      <alignment wrapText="1"/>
    </xf>
    <xf numFmtId="0" fontId="0" fillId="3" borderId="11" xfId="0" applyFill="1" applyBorder="1"/>
    <xf numFmtId="0" fontId="3" fillId="2" borderId="11" xfId="0" applyFont="1" applyFill="1" applyBorder="1" applyAlignment="1">
      <alignment horizontal="center"/>
    </xf>
    <xf numFmtId="0" fontId="5" fillId="0" borderId="10" xfId="0" applyFont="1" applyBorder="1" applyAlignment="1">
      <alignment wrapText="1"/>
    </xf>
  </cellXfs>
  <cellStyles count="1">
    <cellStyle name="Normal" xfId="0" builtinId="0"/>
  </cellStyles>
  <dxfs count="97">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numFmt numFmtId="19" formatCode="dd/mm/yyyy"/>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bottom style="medium">
          <color rgb="FFCCCCCC"/>
        </bottom>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outline="0">
        <left style="medium">
          <color rgb="FFCCCCCC"/>
        </left>
        <right style="medium">
          <color rgb="FFCCCCCC"/>
        </right>
        <top/>
        <bottom/>
      </border>
    </dxf>
    <dxf>
      <font>
        <color rgb="FF9C0006"/>
      </font>
      <fill>
        <patternFill>
          <bgColor rgb="FFFFC7CE"/>
        </patternFill>
      </fill>
    </dxf>
    <dxf>
      <fill>
        <patternFill>
          <bgColor theme="9" tint="0.59996337778862885"/>
        </patternFill>
      </fill>
    </dxf>
    <dxf>
      <numFmt numFmtId="0" formatCode="General"/>
    </dxf>
    <dxf>
      <font>
        <color rgb="FF9C0006"/>
      </font>
      <fill>
        <patternFill>
          <bgColor rgb="FFFFC7CE"/>
        </patternFill>
      </fill>
    </dxf>
    <dxf>
      <fill>
        <patternFill>
          <bgColor theme="9" tint="0.59996337778862885"/>
        </patternFill>
      </fill>
    </dxf>
    <dxf>
      <numFmt numFmtId="0" formatCode="Genera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9C0006"/>
      </font>
      <fill>
        <patternFill>
          <bgColor theme="9" tint="0.59996337778862885"/>
        </patternFill>
      </fill>
    </dxf>
    <dxf>
      <fill>
        <patternFill>
          <bgColor theme="9" tint="0.59996337778862885"/>
        </patternFill>
      </fill>
    </dxf>
    <dxf>
      <font>
        <color theme="1"/>
      </font>
      <numFmt numFmtId="0" formatCode="General"/>
      <fill>
        <patternFill>
          <bgColor theme="9" tint="0.59996337778862885"/>
        </patternFill>
      </fill>
    </dxf>
    <dxf>
      <fill>
        <patternFill>
          <bgColor theme="9" tint="0.59996337778862885"/>
        </patternFill>
      </fill>
    </dxf>
    <dxf>
      <font>
        <color rgb="FF9C0006"/>
      </font>
      <fill>
        <patternFill>
          <bgColor rgb="FFFFC7CE"/>
        </patternFill>
      </fill>
    </dxf>
    <dxf>
      <font>
        <color theme="1"/>
      </font>
      <numFmt numFmtId="0" formatCode="General"/>
      <fill>
        <patternFill>
          <bgColor theme="9" tint="0.59996337778862885"/>
        </patternFill>
      </fill>
    </dxf>
    <dxf>
      <fill>
        <patternFill>
          <bgColor theme="9" tint="0.59996337778862885"/>
        </patternFill>
      </fill>
    </dxf>
    <dxf>
      <font>
        <color rgb="FF9C0006"/>
      </font>
      <fill>
        <patternFill>
          <bgColor rgb="FFFFC7CE"/>
        </patternFill>
      </fill>
    </dxf>
    <dxf>
      <font>
        <b/>
        <i val="0"/>
        <strike val="0"/>
        <condense val="0"/>
        <extend val="0"/>
        <outline val="0"/>
        <shadow val="0"/>
        <u val="none"/>
        <vertAlign val="baseline"/>
        <sz val="11"/>
        <color theme="1"/>
        <name val="Calibri"/>
        <family val="2"/>
        <scheme val="none"/>
      </font>
      <alignment horizontal="center" vertical="top"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numFmt numFmtId="19" formatCode="dd/mm/yyyy"/>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border outline="0">
        <top style="medium">
          <color rgb="FFCCCCCC"/>
        </top>
      </border>
    </dxf>
    <dxf>
      <border outline="0">
        <bottom style="medium">
          <color rgb="FF000000"/>
        </bottom>
      </border>
    </dxf>
    <dxf>
      <border outline="0">
        <top style="medium">
          <color rgb="FF000000"/>
        </top>
        <bottom style="medium">
          <color rgb="FFCCCCCC"/>
        </bottom>
      </border>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ill>
        <patternFill>
          <bgColor theme="0" tint="-4.9989318521683403E-2"/>
        </patternFill>
      </fill>
    </dxf>
    <dxf>
      <font>
        <color theme="8" tint="0.59999389629810485"/>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strike val="0"/>
        <outline val="0"/>
        <shadow val="0"/>
        <u val="none"/>
        <vertAlign val="baseline"/>
        <sz val="14"/>
        <color theme="1"/>
        <name val="Amasis MT Pro"/>
        <family val="1"/>
        <scheme val="none"/>
      </font>
    </dxf>
    <dxf>
      <font>
        <strike val="0"/>
        <outline val="0"/>
        <shadow val="0"/>
        <u val="none"/>
        <vertAlign val="baseline"/>
        <sz val="14"/>
        <color theme="1"/>
        <name val="Amasis MT Pro"/>
        <family val="1"/>
        <scheme val="none"/>
      </font>
    </dxf>
    <dxf>
      <font>
        <strike val="0"/>
        <outline val="0"/>
        <shadow val="0"/>
        <u val="none"/>
        <vertAlign val="baseline"/>
        <sz val="14"/>
        <color theme="1"/>
        <name val="Amasis MT Pro"/>
        <family val="1"/>
        <scheme val="none"/>
      </font>
      <numFmt numFmtId="0" formatCode="General"/>
    </dxf>
    <dxf>
      <font>
        <strike val="0"/>
        <outline val="0"/>
        <shadow val="0"/>
        <u val="none"/>
        <vertAlign val="baseline"/>
        <sz val="14"/>
        <color theme="1"/>
        <name val="Amasis MT Pro"/>
        <family val="1"/>
        <scheme val="none"/>
      </font>
      <numFmt numFmtId="19" formatCode="dd/mm/yyyy"/>
    </dxf>
    <dxf>
      <font>
        <strike val="0"/>
        <outline val="0"/>
        <shadow val="0"/>
        <u val="none"/>
        <vertAlign val="baseline"/>
        <sz val="14"/>
        <color theme="1"/>
        <name val="Amasis MT Pro"/>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7/relationships/slicerCache" Target="slicerCaches/slicerCache9.xml"/><Relationship Id="rId18" Type="http://schemas.openxmlformats.org/officeDocument/2006/relationships/sheetMetadata" Target="metadata.xml"/><Relationship Id="rId3" Type="http://schemas.openxmlformats.org/officeDocument/2006/relationships/pivotCacheDefinition" Target="pivotCache/pivotCacheDefinition1.xml"/><Relationship Id="rId21" Type="http://schemas.microsoft.com/office/2006/relationships/vbaProject" Target="vbaProject.bin"/><Relationship Id="rId7" Type="http://schemas.microsoft.com/office/2007/relationships/slicerCache" Target="slicerCaches/slicerCache3.xml"/><Relationship Id="rId12" Type="http://schemas.microsoft.com/office/2007/relationships/slicerCache" Target="slicerCaches/slicerCache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theme" Target="theme/theme1.xml"/><Relationship Id="rId10" Type="http://schemas.microsoft.com/office/2007/relationships/slicerCache" Target="slicerCaches/slicerCache6.xml"/><Relationship Id="rId19" Type="http://schemas.microsoft.com/office/2017/10/relationships/person" Target="persons/person.xml"/><Relationship Id="rId4" Type="http://schemas.openxmlformats.org/officeDocument/2006/relationships/pivotCacheDefinition" Target="pivotCache/pivotCacheDefinition2.xml"/><Relationship Id="rId9" Type="http://schemas.microsoft.com/office/2007/relationships/slicerCache" Target="slicerCaches/slicerCache5.xml"/><Relationship Id="rId14" Type="http://schemas.microsoft.com/office/2007/relationships/slicerCache" Target="slicerCaches/slicerCache10.xml"/></Relationships>
</file>

<file path=xl/drawings/drawing1.xml><?xml version="1.0" encoding="utf-8"?>
<xdr:wsDr xmlns:xdr="http://schemas.openxmlformats.org/drawingml/2006/spreadsheetDrawing" xmlns:a="http://schemas.openxmlformats.org/drawingml/2006/main">
  <xdr:twoCellAnchor editAs="oneCell">
    <xdr:from>
      <xdr:col>6</xdr:col>
      <xdr:colOff>83820</xdr:colOff>
      <xdr:row>13</xdr:row>
      <xdr:rowOff>22860</xdr:rowOff>
    </xdr:from>
    <xdr:to>
      <xdr:col>8</xdr:col>
      <xdr:colOff>99060</xdr:colOff>
      <xdr:row>27</xdr:row>
      <xdr:rowOff>43815</xdr:rowOff>
    </xdr:to>
    <mc:AlternateContent xmlns:mc="http://schemas.openxmlformats.org/markup-compatibility/2006">
      <mc:Choice xmlns:a14="http://schemas.microsoft.com/office/drawing/2010/main" Requires="a14">
        <xdr:graphicFrame macro="">
          <xdr:nvGraphicFramePr>
            <xdr:cNvPr id="3" name="Date">
              <a:extLst>
                <a:ext uri="{FF2B5EF4-FFF2-40B4-BE49-F238E27FC236}">
                  <a16:creationId xmlns:a16="http://schemas.microsoft.com/office/drawing/2014/main" id="{0F00D6A2-5434-D080-0CC9-7BA2BAC1A1EA}"/>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4300797" y="2386792"/>
              <a:ext cx="1833649"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594360</xdr:colOff>
      <xdr:row>13</xdr:row>
      <xdr:rowOff>15240</xdr:rowOff>
    </xdr:from>
    <xdr:to>
      <xdr:col>12</xdr:col>
      <xdr:colOff>594360</xdr:colOff>
      <xdr:row>27</xdr:row>
      <xdr:rowOff>36195</xdr:rowOff>
    </xdr:to>
    <mc:AlternateContent xmlns:mc="http://schemas.openxmlformats.org/markup-compatibility/2006">
      <mc:Choice xmlns:a14="http://schemas.microsoft.com/office/drawing/2010/main" Requires="a14">
        <xdr:graphicFrame macro="">
          <xdr:nvGraphicFramePr>
            <xdr:cNvPr id="4" name="Location">
              <a:extLst>
                <a:ext uri="{FF2B5EF4-FFF2-40B4-BE49-F238E27FC236}">
                  <a16:creationId xmlns:a16="http://schemas.microsoft.com/office/drawing/2014/main" id="{F8021AFD-4BF7-3FBB-5D55-3B47E69AA7AA}"/>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7235883" y="2379172"/>
              <a:ext cx="1818409"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601980</xdr:colOff>
      <xdr:row>13</xdr:row>
      <xdr:rowOff>30480</xdr:rowOff>
    </xdr:from>
    <xdr:to>
      <xdr:col>16</xdr:col>
      <xdr:colOff>601980</xdr:colOff>
      <xdr:row>27</xdr:row>
      <xdr:rowOff>51435</xdr:rowOff>
    </xdr:to>
    <mc:AlternateContent xmlns:mc="http://schemas.openxmlformats.org/markup-compatibility/2006">
      <mc:Choice xmlns:a14="http://schemas.microsoft.com/office/drawing/2010/main" Requires="a14">
        <xdr:graphicFrame macro="">
          <xdr:nvGraphicFramePr>
            <xdr:cNvPr id="5" name="Accident Type">
              <a:extLst>
                <a:ext uri="{FF2B5EF4-FFF2-40B4-BE49-F238E27FC236}">
                  <a16:creationId xmlns:a16="http://schemas.microsoft.com/office/drawing/2014/main" id="{9080416B-A1B7-A768-9203-9F1D9873DDE4}"/>
                </a:ext>
              </a:extLst>
            </xdr:cNvPr>
            <xdr:cNvGraphicFramePr/>
          </xdr:nvGraphicFramePr>
          <xdr:xfrm>
            <a:off x="0" y="0"/>
            <a:ext cx="0" cy="0"/>
          </xdr:xfrm>
          <a:graphic>
            <a:graphicData uri="http://schemas.microsoft.com/office/drawing/2010/slicer">
              <sle:slicer xmlns:sle="http://schemas.microsoft.com/office/drawing/2010/slicer" name="Accident Type"/>
            </a:graphicData>
          </a:graphic>
        </xdr:graphicFrame>
      </mc:Choice>
      <mc:Fallback>
        <xdr:sp macro="" textlink="">
          <xdr:nvSpPr>
            <xdr:cNvPr id="0" name=""/>
            <xdr:cNvSpPr>
              <a:spLocks noTextEdit="1"/>
            </xdr:cNvSpPr>
          </xdr:nvSpPr>
          <xdr:spPr>
            <a:xfrm>
              <a:off x="9789275" y="2394412"/>
              <a:ext cx="1818410"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30480</xdr:colOff>
      <xdr:row>12</xdr:row>
      <xdr:rowOff>175260</xdr:rowOff>
    </xdr:from>
    <xdr:to>
      <xdr:col>21</xdr:col>
      <xdr:colOff>30480</xdr:colOff>
      <xdr:row>27</xdr:row>
      <xdr:rowOff>13335</xdr:rowOff>
    </xdr:to>
    <mc:AlternateContent xmlns:mc="http://schemas.openxmlformats.org/markup-compatibility/2006">
      <mc:Choice xmlns:a14="http://schemas.microsoft.com/office/drawing/2010/main" Requires="a14">
        <xdr:graphicFrame macro="">
          <xdr:nvGraphicFramePr>
            <xdr:cNvPr id="6" name="Vehicle Type">
              <a:extLst>
                <a:ext uri="{FF2B5EF4-FFF2-40B4-BE49-F238E27FC236}">
                  <a16:creationId xmlns:a16="http://schemas.microsoft.com/office/drawing/2014/main" id="{8A942A5A-5965-652C-8391-51596C8087F6}"/>
                </a:ext>
              </a:extLst>
            </xdr:cNvPr>
            <xdr:cNvGraphicFramePr/>
          </xdr:nvGraphicFramePr>
          <xdr:xfrm>
            <a:off x="0" y="0"/>
            <a:ext cx="0" cy="0"/>
          </xdr:xfrm>
          <a:graphic>
            <a:graphicData uri="http://schemas.microsoft.com/office/drawing/2010/slicer">
              <sle:slicer xmlns:sle="http://schemas.microsoft.com/office/drawing/2010/slicer" name="Vehicle Type"/>
            </a:graphicData>
          </a:graphic>
        </xdr:graphicFrame>
      </mc:Choice>
      <mc:Fallback>
        <xdr:sp macro="" textlink="">
          <xdr:nvSpPr>
            <xdr:cNvPr id="0" name=""/>
            <xdr:cNvSpPr>
              <a:spLocks noTextEdit="1"/>
            </xdr:cNvSpPr>
          </xdr:nvSpPr>
          <xdr:spPr>
            <a:xfrm>
              <a:off x="12248457" y="2357351"/>
              <a:ext cx="1818409" cy="2565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83820</xdr:colOff>
      <xdr:row>28</xdr:row>
      <xdr:rowOff>53340</xdr:rowOff>
    </xdr:from>
    <xdr:to>
      <xdr:col>4</xdr:col>
      <xdr:colOff>457200</xdr:colOff>
      <xdr:row>42</xdr:row>
      <xdr:rowOff>74295</xdr:rowOff>
    </xdr:to>
    <mc:AlternateContent xmlns:mc="http://schemas.openxmlformats.org/markup-compatibility/2006">
      <mc:Choice xmlns:a14="http://schemas.microsoft.com/office/drawing/2010/main" Requires="a14">
        <xdr:graphicFrame macro="">
          <xdr:nvGraphicFramePr>
            <xdr:cNvPr id="7" name="Weather Condition">
              <a:extLst>
                <a:ext uri="{FF2B5EF4-FFF2-40B4-BE49-F238E27FC236}">
                  <a16:creationId xmlns:a16="http://schemas.microsoft.com/office/drawing/2014/main" id="{8B69B30A-1DF9-6FDC-A218-90DCADAB582E}"/>
                </a:ext>
              </a:extLst>
            </xdr:cNvPr>
            <xdr:cNvGraphicFramePr/>
          </xdr:nvGraphicFramePr>
          <xdr:xfrm>
            <a:off x="0" y="0"/>
            <a:ext cx="0" cy="0"/>
          </xdr:xfrm>
          <a:graphic>
            <a:graphicData uri="http://schemas.microsoft.com/office/drawing/2010/slicer">
              <sle:slicer xmlns:sle="http://schemas.microsoft.com/office/drawing/2010/slicer" name="Weather Condition"/>
            </a:graphicData>
          </a:graphic>
        </xdr:graphicFrame>
      </mc:Choice>
      <mc:Fallback>
        <xdr:sp macro="" textlink="">
          <xdr:nvSpPr>
            <xdr:cNvPr id="0" name=""/>
            <xdr:cNvSpPr>
              <a:spLocks noTextEdit="1"/>
            </xdr:cNvSpPr>
          </xdr:nvSpPr>
          <xdr:spPr>
            <a:xfrm>
              <a:off x="1781002" y="5144885"/>
              <a:ext cx="1828107"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76200</xdr:colOff>
      <xdr:row>28</xdr:row>
      <xdr:rowOff>15240</xdr:rowOff>
    </xdr:from>
    <xdr:to>
      <xdr:col>8</xdr:col>
      <xdr:colOff>91440</xdr:colOff>
      <xdr:row>42</xdr:row>
      <xdr:rowOff>36195</xdr:rowOff>
    </xdr:to>
    <mc:AlternateContent xmlns:mc="http://schemas.openxmlformats.org/markup-compatibility/2006">
      <mc:Choice xmlns:a14="http://schemas.microsoft.com/office/drawing/2010/main" Requires="a14">
        <xdr:graphicFrame macro="">
          <xdr:nvGraphicFramePr>
            <xdr:cNvPr id="8" name="Road Condition">
              <a:extLst>
                <a:ext uri="{FF2B5EF4-FFF2-40B4-BE49-F238E27FC236}">
                  <a16:creationId xmlns:a16="http://schemas.microsoft.com/office/drawing/2014/main" id="{FEB06AA8-ABBC-F034-1059-BB7EF6EE9507}"/>
                </a:ext>
              </a:extLst>
            </xdr:cNvPr>
            <xdr:cNvGraphicFramePr/>
          </xdr:nvGraphicFramePr>
          <xdr:xfrm>
            <a:off x="0" y="0"/>
            <a:ext cx="0" cy="0"/>
          </xdr:xfrm>
          <a:graphic>
            <a:graphicData uri="http://schemas.microsoft.com/office/drawing/2010/slicer">
              <sle:slicer xmlns:sle="http://schemas.microsoft.com/office/drawing/2010/slicer" name="Road Condition"/>
            </a:graphicData>
          </a:graphic>
        </xdr:graphicFrame>
      </mc:Choice>
      <mc:Fallback>
        <xdr:sp macro="" textlink="">
          <xdr:nvSpPr>
            <xdr:cNvPr id="0" name=""/>
            <xdr:cNvSpPr>
              <a:spLocks noTextEdit="1"/>
            </xdr:cNvSpPr>
          </xdr:nvSpPr>
          <xdr:spPr>
            <a:xfrm>
              <a:off x="4293177" y="5106785"/>
              <a:ext cx="1833649"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28</xdr:row>
      <xdr:rowOff>22860</xdr:rowOff>
    </xdr:from>
    <xdr:to>
      <xdr:col>12</xdr:col>
      <xdr:colOff>609600</xdr:colOff>
      <xdr:row>42</xdr:row>
      <xdr:rowOff>43815</xdr:rowOff>
    </xdr:to>
    <mc:AlternateContent xmlns:mc="http://schemas.openxmlformats.org/markup-compatibility/2006">
      <mc:Choice xmlns:a14="http://schemas.microsoft.com/office/drawing/2010/main" Requires="a14">
        <xdr:graphicFrame macro="">
          <xdr:nvGraphicFramePr>
            <xdr:cNvPr id="9" name="Severity">
              <a:extLst>
                <a:ext uri="{FF2B5EF4-FFF2-40B4-BE49-F238E27FC236}">
                  <a16:creationId xmlns:a16="http://schemas.microsoft.com/office/drawing/2014/main" id="{16050169-1D90-92D7-AAE8-742FC3ECCC7D}"/>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dr:sp macro="" textlink="">
          <xdr:nvSpPr>
            <xdr:cNvPr id="0" name=""/>
            <xdr:cNvSpPr>
              <a:spLocks noTextEdit="1"/>
            </xdr:cNvSpPr>
          </xdr:nvSpPr>
          <xdr:spPr>
            <a:xfrm>
              <a:off x="7247659" y="5114405"/>
              <a:ext cx="1821873"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30480</xdr:colOff>
      <xdr:row>28</xdr:row>
      <xdr:rowOff>30480</xdr:rowOff>
    </xdr:from>
    <xdr:to>
      <xdr:col>17</xdr:col>
      <xdr:colOff>30480</xdr:colOff>
      <xdr:row>42</xdr:row>
      <xdr:rowOff>51435</xdr:rowOff>
    </xdr:to>
    <mc:AlternateContent xmlns:mc="http://schemas.openxmlformats.org/markup-compatibility/2006">
      <mc:Choice xmlns:a14="http://schemas.microsoft.com/office/drawing/2010/main" Requires="a14">
        <xdr:graphicFrame macro="">
          <xdr:nvGraphicFramePr>
            <xdr:cNvPr id="10" name="Cause">
              <a:extLst>
                <a:ext uri="{FF2B5EF4-FFF2-40B4-BE49-F238E27FC236}">
                  <a16:creationId xmlns:a16="http://schemas.microsoft.com/office/drawing/2014/main" id="{9F44958F-5140-28F7-53F9-DE2181FA0F4A}"/>
                </a:ext>
              </a:extLst>
            </xdr:cNvPr>
            <xdr:cNvGraphicFramePr/>
          </xdr:nvGraphicFramePr>
          <xdr:xfrm>
            <a:off x="0" y="0"/>
            <a:ext cx="0" cy="0"/>
          </xdr:xfrm>
          <a:graphic>
            <a:graphicData uri="http://schemas.microsoft.com/office/drawing/2010/slicer">
              <sle:slicer xmlns:sle="http://schemas.microsoft.com/office/drawing/2010/slicer" name="Cause"/>
            </a:graphicData>
          </a:graphic>
        </xdr:graphicFrame>
      </mc:Choice>
      <mc:Fallback>
        <xdr:sp macro="" textlink="">
          <xdr:nvSpPr>
            <xdr:cNvPr id="0" name=""/>
            <xdr:cNvSpPr>
              <a:spLocks noTextEdit="1"/>
            </xdr:cNvSpPr>
          </xdr:nvSpPr>
          <xdr:spPr>
            <a:xfrm>
              <a:off x="9823912" y="5122025"/>
              <a:ext cx="1818409"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76200</xdr:colOff>
      <xdr:row>28</xdr:row>
      <xdr:rowOff>38100</xdr:rowOff>
    </xdr:from>
    <xdr:to>
      <xdr:col>21</xdr:col>
      <xdr:colOff>76200</xdr:colOff>
      <xdr:row>42</xdr:row>
      <xdr:rowOff>59055</xdr:rowOff>
    </xdr:to>
    <mc:AlternateContent xmlns:mc="http://schemas.openxmlformats.org/markup-compatibility/2006">
      <mc:Choice xmlns:a14="http://schemas.microsoft.com/office/drawing/2010/main" Requires="a14">
        <xdr:graphicFrame macro="">
          <xdr:nvGraphicFramePr>
            <xdr:cNvPr id="11" name="Casualties">
              <a:extLst>
                <a:ext uri="{FF2B5EF4-FFF2-40B4-BE49-F238E27FC236}">
                  <a16:creationId xmlns:a16="http://schemas.microsoft.com/office/drawing/2014/main" id="{B6CFD1A0-DA88-175C-7EDE-C49CAC661AB1}"/>
                </a:ext>
              </a:extLst>
            </xdr:cNvPr>
            <xdr:cNvGraphicFramePr/>
          </xdr:nvGraphicFramePr>
          <xdr:xfrm>
            <a:off x="0" y="0"/>
            <a:ext cx="0" cy="0"/>
          </xdr:xfrm>
          <a:graphic>
            <a:graphicData uri="http://schemas.microsoft.com/office/drawing/2010/slicer">
              <sle:slicer xmlns:sle="http://schemas.microsoft.com/office/drawing/2010/slicer" name="Casualties"/>
            </a:graphicData>
          </a:graphic>
        </xdr:graphicFrame>
      </mc:Choice>
      <mc:Fallback>
        <xdr:sp macro="" textlink="">
          <xdr:nvSpPr>
            <xdr:cNvPr id="0" name=""/>
            <xdr:cNvSpPr>
              <a:spLocks noTextEdit="1"/>
            </xdr:cNvSpPr>
          </xdr:nvSpPr>
          <xdr:spPr>
            <a:xfrm>
              <a:off x="12294177" y="5129645"/>
              <a:ext cx="1818409"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91440</xdr:colOff>
      <xdr:row>13</xdr:row>
      <xdr:rowOff>15240</xdr:rowOff>
    </xdr:from>
    <xdr:to>
      <xdr:col>4</xdr:col>
      <xdr:colOff>464820</xdr:colOff>
      <xdr:row>27</xdr:row>
      <xdr:rowOff>36195</xdr:rowOff>
    </xdr:to>
    <mc:AlternateContent xmlns:mc="http://schemas.openxmlformats.org/markup-compatibility/2006">
      <mc:Choice xmlns:a14="http://schemas.microsoft.com/office/drawing/2010/main" Requires="a14">
        <xdr:graphicFrame macro="">
          <xdr:nvGraphicFramePr>
            <xdr:cNvPr id="2" name="Accident ID">
              <a:extLst>
                <a:ext uri="{FF2B5EF4-FFF2-40B4-BE49-F238E27FC236}">
                  <a16:creationId xmlns:a16="http://schemas.microsoft.com/office/drawing/2014/main" id="{29FC4B11-A1AC-41FE-C675-476314211CC6}"/>
                </a:ext>
              </a:extLst>
            </xdr:cNvPr>
            <xdr:cNvGraphicFramePr/>
          </xdr:nvGraphicFramePr>
          <xdr:xfrm>
            <a:off x="0" y="0"/>
            <a:ext cx="0" cy="0"/>
          </xdr:xfrm>
          <a:graphic>
            <a:graphicData uri="http://schemas.microsoft.com/office/drawing/2010/slicer">
              <sle:slicer xmlns:sle="http://schemas.microsoft.com/office/drawing/2010/slicer" name="Accident ID"/>
            </a:graphicData>
          </a:graphic>
        </xdr:graphicFrame>
      </mc:Choice>
      <mc:Fallback>
        <xdr:sp macro="" textlink="">
          <xdr:nvSpPr>
            <xdr:cNvPr id="0" name=""/>
            <xdr:cNvSpPr>
              <a:spLocks noTextEdit="1"/>
            </xdr:cNvSpPr>
          </xdr:nvSpPr>
          <xdr:spPr>
            <a:xfrm>
              <a:off x="1788622" y="2379172"/>
              <a:ext cx="1828107" cy="256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anjum shaikh" id="{4E6DEE59-40F3-4094-8A08-8230347B24BC}" userId="e3663b3af5cced2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um shaikh" refreshedDate="46022.845547685189" createdVersion="8" refreshedVersion="8" minRefreshableVersion="3" recordCount="100" xr:uid="{05703942-7C74-4C04-BA54-17600A1D55E6}">
  <cacheSource type="worksheet">
    <worksheetSource name="Table2"/>
  </cacheSource>
  <cacheFields count="12">
    <cacheField name="Accident ID" numFmtId="0">
      <sharedItems count="100">
        <s v="AID0001"/>
        <s v="AID0002"/>
        <s v="AID0003"/>
        <s v="AID0004"/>
        <s v="AID0005"/>
        <s v="AID0006"/>
        <s v="AID0007"/>
        <s v="AID0008"/>
        <s v="AID0009"/>
        <s v="AID0010"/>
        <s v="AID0011"/>
        <s v="AID0012"/>
        <s v="AID0013"/>
        <s v="AID0014"/>
        <s v="AID0015"/>
        <s v="AID0016"/>
        <s v="AID0017"/>
        <s v="AID0018"/>
        <s v="AID0019"/>
        <s v="AID0020"/>
        <s v="AID0021"/>
        <s v="AID0022"/>
        <s v="AID0023"/>
        <s v="AID0024"/>
        <s v="AID0025"/>
        <s v="AID0026"/>
        <s v="AID0027"/>
        <s v="AID0028"/>
        <s v="AID0029"/>
        <s v="AID0030"/>
        <s v="AID0031"/>
        <s v="AID0032"/>
        <s v="AID0033"/>
        <s v="AID0034"/>
        <s v="AID0035"/>
        <s v="AID0036"/>
        <s v="AID0037"/>
        <s v="AID0038"/>
        <s v="AID0039"/>
        <s v="AID0040"/>
        <s v="AID0041"/>
        <s v="AID0042"/>
        <s v="AID0043"/>
        <s v="AID0044"/>
        <s v="AID0045"/>
        <s v="AID0046"/>
        <s v="AID0047"/>
        <s v="AID0048"/>
        <s v="AID0049"/>
        <s v="AID0050"/>
        <s v="AID0051"/>
        <s v="AID0052"/>
        <s v="AID0053"/>
        <s v="AID0054"/>
        <s v="AID0055"/>
        <s v="AID0056"/>
        <s v="AID0057"/>
        <s v="AID0058"/>
        <s v="AID0059"/>
        <s v="AID0060"/>
        <s v="AID0061"/>
        <s v="AID0062"/>
        <s v="AID0063"/>
        <s v="AID0064"/>
        <s v="AID0065"/>
        <s v="AID0066"/>
        <s v="AID0067"/>
        <s v="AID0068"/>
        <s v="AID0069"/>
        <s v="AID0070"/>
        <s v="AID0071"/>
        <s v="AID0072"/>
        <s v="AID0073"/>
        <s v="AID0074"/>
        <s v="AID0075"/>
        <s v="AID0076"/>
        <s v="AID0077"/>
        <s v="AID0078"/>
        <s v="AID0079"/>
        <s v="AID0080"/>
        <s v="AID0081"/>
        <s v="AID0082"/>
        <s v="AID0083"/>
        <s v="AID0084"/>
        <s v="AID0085"/>
        <s v="AID0086"/>
        <s v="AID0087"/>
        <s v="AID0088"/>
        <s v="AID0089"/>
        <s v="AID0090"/>
        <s v="AID0091"/>
        <s v="AID0092"/>
        <s v="AID0093"/>
        <s v="AID0094"/>
        <s v="AID0095"/>
        <s v="AID0096"/>
        <s v="AID0097"/>
        <s v="AID0098"/>
        <s v="AID0099"/>
        <s v="AID0100"/>
      </sharedItems>
    </cacheField>
    <cacheField name="Date" numFmtId="14">
      <sharedItems containsSemiMixedTypes="0" containsNonDate="0" containsDate="1" containsString="0" minDate="2024-01-01T00:00:00" maxDate="2024-06-27T00:00:00" count="81">
        <d v="2024-01-01T00:00:00"/>
        <d v="2024-03-29T00:00:00"/>
        <d v="2024-01-05T00:00:00"/>
        <d v="2024-06-02T00:00:00"/>
        <d v="2024-02-28T00:00:00"/>
        <d v="2024-04-17T00:00:00"/>
        <d v="2024-02-16T00:00:00"/>
        <d v="2024-03-18T00:00:00"/>
        <d v="2024-05-13T00:00:00"/>
        <d v="2024-01-16T00:00:00"/>
        <d v="2024-01-08T00:00:00"/>
        <d v="2024-06-25T00:00:00"/>
        <d v="2024-04-02T00:00:00"/>
        <d v="2024-03-27T00:00:00"/>
        <d v="2024-05-19T00:00:00"/>
        <d v="2024-03-03T00:00:00"/>
        <d v="2024-03-08T00:00:00"/>
        <d v="2024-06-26T00:00:00"/>
        <d v="2024-01-26T00:00:00"/>
        <d v="2024-02-05T00:00:00"/>
        <d v="2024-06-07T00:00:00"/>
        <d v="2024-02-24T00:00:00"/>
        <d v="2024-06-04T00:00:00"/>
        <d v="2024-05-30T00:00:00"/>
        <d v="2024-04-04T00:00:00"/>
        <d v="2024-05-10T00:00:00"/>
        <d v="2024-03-02T00:00:00"/>
        <d v="2024-04-16T00:00:00"/>
        <d v="2024-06-09T00:00:00"/>
        <d v="2024-02-25T00:00:00"/>
        <d v="2024-06-24T00:00:00"/>
        <d v="2024-04-21T00:00:00"/>
        <d v="2024-01-02T00:00:00"/>
        <d v="2024-05-24T00:00:00"/>
        <d v="2024-01-23T00:00:00"/>
        <d v="2024-04-26T00:00:00"/>
        <d v="2024-03-14T00:00:00"/>
        <d v="2024-01-10T00:00:00"/>
        <d v="2024-04-28T00:00:00"/>
        <d v="2024-03-19T00:00:00"/>
        <d v="2024-03-20T00:00:00"/>
        <d v="2024-05-05T00:00:00"/>
        <d v="2024-04-20T00:00:00"/>
        <d v="2024-06-23T00:00:00"/>
        <d v="2024-04-01T00:00:00"/>
        <d v="2024-01-20T00:00:00"/>
        <d v="2024-02-23T00:00:00"/>
        <d v="2024-05-21T00:00:00"/>
        <d v="2024-03-23T00:00:00"/>
        <d v="2024-03-16T00:00:00"/>
        <d v="2024-05-14T00:00:00"/>
        <d v="2024-05-11T00:00:00"/>
        <d v="2024-03-04T00:00:00"/>
        <d v="2024-06-10T00:00:00"/>
        <d v="2024-03-09T00:00:00"/>
        <d v="2024-02-15T00:00:00"/>
        <d v="2024-01-11T00:00:00"/>
        <d v="2024-05-18T00:00:00"/>
        <d v="2024-06-05T00:00:00"/>
        <d v="2024-03-01T00:00:00"/>
        <d v="2024-06-17T00:00:00"/>
        <d v="2024-05-25T00:00:00"/>
        <d v="2024-02-08T00:00:00"/>
        <d v="2024-03-31T00:00:00"/>
        <d v="2024-02-07T00:00:00"/>
        <d v="2024-03-24T00:00:00"/>
        <d v="2024-01-29T00:00:00"/>
        <d v="2024-04-22T00:00:00"/>
        <d v="2024-05-12T00:00:00"/>
        <d v="2024-01-28T00:00:00"/>
        <d v="2024-01-17T00:00:00"/>
        <d v="2024-06-14T00:00:00"/>
        <d v="2024-03-22T00:00:00"/>
        <d v="2024-01-03T00:00:00"/>
        <d v="2024-06-15T00:00:00"/>
        <d v="2024-04-07T00:00:00"/>
        <d v="2024-06-13T00:00:00"/>
        <d v="2024-02-20T00:00:00"/>
        <d v="2024-01-22T00:00:00"/>
        <d v="2024-04-08T00:00:00"/>
        <d v="2024-06-21T00:00:00"/>
      </sharedItems>
      <fieldGroup par="11"/>
    </cacheField>
    <cacheField name="Location" numFmtId="0">
      <sharedItems count="8">
        <s v="Hyderabad"/>
        <s v="Mumbai"/>
        <s v="Pune"/>
        <s v="Bangalore"/>
        <s v="Delhi"/>
        <s v="Ahmedabad"/>
        <s v="Chennai"/>
        <s v="Kolkata"/>
      </sharedItems>
    </cacheField>
    <cacheField name="Accident Type" numFmtId="0">
      <sharedItems count="5">
        <s v="Overturn"/>
        <s v="Collision"/>
        <s v="Animal Hit"/>
        <s v="Object Hit"/>
        <s v="Pedestrian Hit"/>
      </sharedItems>
    </cacheField>
    <cacheField name="Vehicle Type" numFmtId="0">
      <sharedItems count="6">
        <s v="Auto-Rickshaw"/>
        <s v="Bicycle"/>
        <s v="Truck"/>
        <s v="Car"/>
        <s v="Motorcycle"/>
        <s v="Bus"/>
      </sharedItems>
    </cacheField>
    <cacheField name="Weather Condition" numFmtId="0">
      <sharedItems count="4">
        <s v="Clear"/>
        <s v="Foggy"/>
        <s v="Windy"/>
        <s v="Rainy"/>
      </sharedItems>
    </cacheField>
    <cacheField name="Road Condition" numFmtId="0">
      <sharedItems count="4">
        <s v="Dry"/>
        <s v="Damaged"/>
        <s v="Under Construction"/>
        <s v="Wet"/>
      </sharedItems>
    </cacheField>
    <cacheField name="Severity" numFmtId="0">
      <sharedItems count="4">
        <s v="Moderate"/>
        <s v="Fatal"/>
        <s v="Minor"/>
        <s v="Severe"/>
      </sharedItems>
    </cacheField>
    <cacheField name="Cause" numFmtId="0">
      <sharedItems count="6">
        <s v="Overtaking"/>
        <s v="Distracted Driving"/>
        <s v="Brake Failure"/>
        <s v="Weather"/>
        <s v="Drunk Driving"/>
        <s v="Speeding"/>
      </sharedItems>
    </cacheField>
    <cacheField name="Casualties" numFmtId="0">
      <sharedItems containsSemiMixedTypes="0" containsString="0" containsNumber="1" containsInteger="1" minValue="0" maxValue="5" count="6">
        <n v="0"/>
        <n v="3"/>
        <n v="4"/>
        <n v="2"/>
        <n v="5"/>
        <n v="1"/>
      </sharedItems>
    </cacheField>
    <cacheField name="Days (Date)" numFmtId="0" databaseField="0">
      <fieldGroup base="1">
        <rangePr groupBy="days" startDate="2024-01-01T00:00:00" endDate="2024-06-27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7-06-2024"/>
        </groupItems>
      </fieldGroup>
    </cacheField>
    <cacheField name="Months (Date)" numFmtId="0" databaseField="0">
      <fieldGroup base="1">
        <rangePr groupBy="months" startDate="2024-01-01T00:00:00" endDate="2024-06-27T00:00:00"/>
        <groupItems count="14">
          <s v="&lt;01-01-2024"/>
          <s v="Jan"/>
          <s v="Feb"/>
          <s v="Mar"/>
          <s v="Apr"/>
          <s v="May"/>
          <s v="Jun"/>
          <s v="Jul"/>
          <s v="Aug"/>
          <s v="Sep"/>
          <s v="Oct"/>
          <s v="Nov"/>
          <s v="Dec"/>
          <s v="&gt;27-06-2024"/>
        </groupItems>
      </fieldGroup>
    </cacheField>
  </cacheFields>
  <extLst>
    <ext xmlns:x14="http://schemas.microsoft.com/office/spreadsheetml/2009/9/main" uri="{725AE2AE-9491-48be-B2B4-4EB974FC3084}">
      <x14:pivotCacheDefinition pivotCacheId="27284390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um shaikh" refreshedDate="46023.624066550925" createdVersion="8" refreshedVersion="8" minRefreshableVersion="3" recordCount="100" xr:uid="{7CD74A95-00C5-4E72-ACC6-3D636E4D41A2}">
  <cacheSource type="worksheet">
    <worksheetSource name="Table5"/>
  </cacheSource>
  <cacheFields count="14">
    <cacheField name="Customer ID" numFmtId="0">
      <sharedItems/>
    </cacheField>
    <cacheField name="Region" numFmtId="0">
      <sharedItems count="4">
        <s v="West"/>
        <s v="South"/>
        <s v="East"/>
        <s v="North"/>
      </sharedItems>
    </cacheField>
    <cacheField name="Country" numFmtId="0">
      <sharedItems/>
    </cacheField>
    <cacheField name="State" numFmtId="0">
      <sharedItems/>
    </cacheField>
    <cacheField name="Phone Number" numFmtId="0">
      <sharedItems containsSemiMixedTypes="0" containsString="0" containsNumber="1" containsInteger="1" minValue="85" maxValue="99831923457"/>
    </cacheField>
    <cacheField name="Category" numFmtId="0">
      <sharedItems count="3">
        <s v="Clothing"/>
        <s v="Furniture"/>
        <s v="Electronics"/>
      </sharedItems>
    </cacheField>
    <cacheField name="Product" numFmtId="0">
      <sharedItems/>
    </cacheField>
    <cacheField name="Price" numFmtId="0">
      <sharedItems containsSemiMixedTypes="0" containsString="0" containsNumber="1" minValue="238.37" maxValue="2896.96"/>
    </cacheField>
    <cacheField name="Units Sold" numFmtId="0">
      <sharedItems containsSemiMixedTypes="0" containsString="0" containsNumber="1" containsInteger="1" minValue="1" maxValue="15"/>
    </cacheField>
    <cacheField name="Profit" numFmtId="0">
      <sharedItems containsSemiMixedTypes="0" containsString="0" containsNumber="1" minValue="163.57" maxValue="11123.31" count="100">
        <n v="3559.55"/>
        <n v="4029.57"/>
        <n v="362.2"/>
        <n v="1542.65"/>
        <n v="6972.71"/>
        <n v="2581.67"/>
        <n v="994.44"/>
        <n v="327.88"/>
        <n v="1045.43"/>
        <n v="11123.31"/>
        <n v="716.15"/>
        <n v="2130.1799999999998"/>
        <n v="273.95"/>
        <n v="1260.55"/>
        <n v="2826.93"/>
        <n v="4719.91"/>
        <n v="1403.14"/>
        <n v="3528.3"/>
        <n v="2542.0700000000002"/>
        <n v="1394.93"/>
        <n v="3308.52"/>
        <n v="2435.5500000000002"/>
        <n v="3082.85"/>
        <n v="539.64"/>
        <n v="1252.56"/>
        <n v="2575.4299999999998"/>
        <n v="2254.59"/>
        <n v="2066.7600000000002"/>
        <n v="3821.07"/>
        <n v="6046.68"/>
        <n v="4026.14"/>
        <n v="3286.83"/>
        <n v="538.34"/>
        <n v="2548.08"/>
        <n v="6188.69"/>
        <n v="848.33"/>
        <n v="296.79000000000002"/>
        <n v="897.22"/>
        <n v="6621.29"/>
        <n v="3378.16"/>
        <n v="988.52"/>
        <n v="3353.4"/>
        <n v="8011.16"/>
        <n v="385.93"/>
        <n v="2607.48"/>
        <n v="247.89"/>
        <n v="1883.37"/>
        <n v="482.01"/>
        <n v="842.47"/>
        <n v="3985.19"/>
        <n v="2428.98"/>
        <n v="163.57"/>
        <n v="3695.03"/>
        <n v="1973.2"/>
        <n v="1525.57"/>
        <n v="3532.26"/>
        <n v="4140.1400000000003"/>
        <n v="3204.64"/>
        <n v="2678.22"/>
        <n v="381.56"/>
        <n v="383.92"/>
        <n v="847.73"/>
        <n v="345.46"/>
        <n v="1363.83"/>
        <n v="2801.82"/>
        <n v="2111.02"/>
        <n v="2676.46"/>
        <n v="1551.79"/>
        <n v="669.54"/>
        <n v="684.45"/>
        <n v="434.79"/>
        <n v="749.57"/>
        <n v="3929.03"/>
        <n v="878.07"/>
        <n v="1830.75"/>
        <n v="4245.2299999999996"/>
        <n v="1183.48"/>
        <n v="1223.23"/>
        <n v="3571.15"/>
        <n v="5761.18"/>
        <n v="867.33"/>
        <n v="354.16"/>
        <n v="435.36"/>
        <n v="4368.75"/>
        <n v="905.89"/>
        <n v="1935.04"/>
        <n v="366.17"/>
        <n v="698.75"/>
        <n v="562.75"/>
        <n v="802.96"/>
        <n v="1661.2"/>
        <n v="4142.5200000000004"/>
        <n v="1453.33"/>
        <n v="3760.49"/>
        <n v="839.97"/>
        <n v="2135.63"/>
        <n v="586.94000000000005"/>
        <n v="419.41"/>
        <n v="5513.14"/>
        <n v="442.75"/>
      </sharedItems>
    </cacheField>
    <cacheField name="Mode of Payment" numFmtId="0">
      <sharedItems/>
    </cacheField>
    <cacheField name="Revenue" numFmtId="0">
      <sharedItems containsSemiMixedTypes="0" containsString="0" containsNumber="1" minValue="1248.54" maxValue="40080" count="15">
        <n v="12199.05"/>
        <n v="21078.59"/>
        <n v="1363.73"/>
        <n v="5864.6500000000005"/>
        <n v="31948.28"/>
        <n v="18630.080000000002"/>
        <n v="1248.54"/>
        <n v="2338.56"/>
        <n v="6960.09"/>
        <n v="40080"/>
        <n v="7420.41"/>
        <n v="20278.72"/>
        <n v="9196.39"/>
        <n v="11523.3"/>
        <n v="20169.599999999999"/>
      </sharedItems>
    </cacheField>
    <cacheField name="Revenue Label" numFmtId="0">
      <sharedItems/>
    </cacheField>
    <cacheField name="Profit %" numFmtId="0">
      <sharedItems containsSemiMixedTypes="0" containsString="0" containsNumber="1" minValue="0.62" maxValue="815.6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x v="0"/>
    <x v="0"/>
  </r>
  <r>
    <x v="1"/>
    <x v="1"/>
    <x v="1"/>
    <x v="0"/>
    <x v="0"/>
    <x v="1"/>
    <x v="1"/>
    <x v="0"/>
    <x v="1"/>
    <x v="0"/>
  </r>
  <r>
    <x v="2"/>
    <x v="2"/>
    <x v="1"/>
    <x v="0"/>
    <x v="1"/>
    <x v="2"/>
    <x v="2"/>
    <x v="1"/>
    <x v="0"/>
    <x v="1"/>
  </r>
  <r>
    <x v="3"/>
    <x v="3"/>
    <x v="2"/>
    <x v="1"/>
    <x v="2"/>
    <x v="0"/>
    <x v="0"/>
    <x v="1"/>
    <x v="2"/>
    <x v="2"/>
  </r>
  <r>
    <x v="4"/>
    <x v="4"/>
    <x v="3"/>
    <x v="2"/>
    <x v="0"/>
    <x v="0"/>
    <x v="1"/>
    <x v="0"/>
    <x v="3"/>
    <x v="0"/>
  </r>
  <r>
    <x v="5"/>
    <x v="5"/>
    <x v="3"/>
    <x v="2"/>
    <x v="3"/>
    <x v="3"/>
    <x v="1"/>
    <x v="2"/>
    <x v="4"/>
    <x v="2"/>
  </r>
  <r>
    <x v="6"/>
    <x v="6"/>
    <x v="4"/>
    <x v="2"/>
    <x v="3"/>
    <x v="3"/>
    <x v="0"/>
    <x v="2"/>
    <x v="5"/>
    <x v="3"/>
  </r>
  <r>
    <x v="7"/>
    <x v="7"/>
    <x v="0"/>
    <x v="0"/>
    <x v="3"/>
    <x v="1"/>
    <x v="3"/>
    <x v="0"/>
    <x v="5"/>
    <x v="4"/>
  </r>
  <r>
    <x v="8"/>
    <x v="8"/>
    <x v="1"/>
    <x v="1"/>
    <x v="3"/>
    <x v="2"/>
    <x v="2"/>
    <x v="2"/>
    <x v="3"/>
    <x v="3"/>
  </r>
  <r>
    <x v="9"/>
    <x v="9"/>
    <x v="5"/>
    <x v="1"/>
    <x v="4"/>
    <x v="0"/>
    <x v="2"/>
    <x v="3"/>
    <x v="5"/>
    <x v="4"/>
  </r>
  <r>
    <x v="10"/>
    <x v="10"/>
    <x v="2"/>
    <x v="3"/>
    <x v="0"/>
    <x v="0"/>
    <x v="1"/>
    <x v="1"/>
    <x v="0"/>
    <x v="0"/>
  </r>
  <r>
    <x v="11"/>
    <x v="11"/>
    <x v="5"/>
    <x v="4"/>
    <x v="3"/>
    <x v="0"/>
    <x v="2"/>
    <x v="3"/>
    <x v="0"/>
    <x v="1"/>
  </r>
  <r>
    <x v="12"/>
    <x v="1"/>
    <x v="3"/>
    <x v="4"/>
    <x v="1"/>
    <x v="3"/>
    <x v="3"/>
    <x v="3"/>
    <x v="5"/>
    <x v="5"/>
  </r>
  <r>
    <x v="13"/>
    <x v="12"/>
    <x v="6"/>
    <x v="0"/>
    <x v="5"/>
    <x v="1"/>
    <x v="0"/>
    <x v="3"/>
    <x v="4"/>
    <x v="3"/>
  </r>
  <r>
    <x v="14"/>
    <x v="13"/>
    <x v="6"/>
    <x v="4"/>
    <x v="4"/>
    <x v="1"/>
    <x v="2"/>
    <x v="0"/>
    <x v="2"/>
    <x v="5"/>
  </r>
  <r>
    <x v="15"/>
    <x v="14"/>
    <x v="6"/>
    <x v="0"/>
    <x v="2"/>
    <x v="1"/>
    <x v="1"/>
    <x v="3"/>
    <x v="1"/>
    <x v="4"/>
  </r>
  <r>
    <x v="16"/>
    <x v="15"/>
    <x v="0"/>
    <x v="1"/>
    <x v="4"/>
    <x v="2"/>
    <x v="2"/>
    <x v="0"/>
    <x v="1"/>
    <x v="2"/>
  </r>
  <r>
    <x v="17"/>
    <x v="16"/>
    <x v="7"/>
    <x v="0"/>
    <x v="3"/>
    <x v="2"/>
    <x v="2"/>
    <x v="0"/>
    <x v="2"/>
    <x v="1"/>
  </r>
  <r>
    <x v="18"/>
    <x v="17"/>
    <x v="4"/>
    <x v="0"/>
    <x v="4"/>
    <x v="3"/>
    <x v="3"/>
    <x v="3"/>
    <x v="4"/>
    <x v="2"/>
  </r>
  <r>
    <x v="19"/>
    <x v="18"/>
    <x v="4"/>
    <x v="1"/>
    <x v="1"/>
    <x v="3"/>
    <x v="1"/>
    <x v="0"/>
    <x v="2"/>
    <x v="4"/>
  </r>
  <r>
    <x v="20"/>
    <x v="19"/>
    <x v="2"/>
    <x v="2"/>
    <x v="4"/>
    <x v="2"/>
    <x v="1"/>
    <x v="2"/>
    <x v="1"/>
    <x v="4"/>
  </r>
  <r>
    <x v="21"/>
    <x v="20"/>
    <x v="0"/>
    <x v="3"/>
    <x v="2"/>
    <x v="1"/>
    <x v="2"/>
    <x v="1"/>
    <x v="3"/>
    <x v="2"/>
  </r>
  <r>
    <x v="22"/>
    <x v="13"/>
    <x v="6"/>
    <x v="1"/>
    <x v="1"/>
    <x v="3"/>
    <x v="2"/>
    <x v="3"/>
    <x v="3"/>
    <x v="2"/>
  </r>
  <r>
    <x v="23"/>
    <x v="21"/>
    <x v="1"/>
    <x v="3"/>
    <x v="2"/>
    <x v="3"/>
    <x v="0"/>
    <x v="0"/>
    <x v="0"/>
    <x v="0"/>
  </r>
  <r>
    <x v="24"/>
    <x v="22"/>
    <x v="4"/>
    <x v="2"/>
    <x v="4"/>
    <x v="3"/>
    <x v="1"/>
    <x v="1"/>
    <x v="4"/>
    <x v="5"/>
  </r>
  <r>
    <x v="25"/>
    <x v="23"/>
    <x v="2"/>
    <x v="1"/>
    <x v="5"/>
    <x v="0"/>
    <x v="1"/>
    <x v="0"/>
    <x v="3"/>
    <x v="0"/>
  </r>
  <r>
    <x v="26"/>
    <x v="24"/>
    <x v="0"/>
    <x v="4"/>
    <x v="3"/>
    <x v="2"/>
    <x v="3"/>
    <x v="1"/>
    <x v="0"/>
    <x v="0"/>
  </r>
  <r>
    <x v="27"/>
    <x v="25"/>
    <x v="0"/>
    <x v="0"/>
    <x v="1"/>
    <x v="1"/>
    <x v="0"/>
    <x v="3"/>
    <x v="2"/>
    <x v="2"/>
  </r>
  <r>
    <x v="28"/>
    <x v="26"/>
    <x v="6"/>
    <x v="2"/>
    <x v="0"/>
    <x v="3"/>
    <x v="1"/>
    <x v="3"/>
    <x v="3"/>
    <x v="2"/>
  </r>
  <r>
    <x v="29"/>
    <x v="27"/>
    <x v="2"/>
    <x v="4"/>
    <x v="3"/>
    <x v="1"/>
    <x v="2"/>
    <x v="3"/>
    <x v="1"/>
    <x v="0"/>
  </r>
  <r>
    <x v="30"/>
    <x v="28"/>
    <x v="7"/>
    <x v="3"/>
    <x v="4"/>
    <x v="3"/>
    <x v="3"/>
    <x v="3"/>
    <x v="0"/>
    <x v="4"/>
  </r>
  <r>
    <x v="31"/>
    <x v="29"/>
    <x v="6"/>
    <x v="4"/>
    <x v="0"/>
    <x v="3"/>
    <x v="1"/>
    <x v="1"/>
    <x v="4"/>
    <x v="3"/>
  </r>
  <r>
    <x v="32"/>
    <x v="30"/>
    <x v="2"/>
    <x v="3"/>
    <x v="0"/>
    <x v="2"/>
    <x v="1"/>
    <x v="1"/>
    <x v="1"/>
    <x v="5"/>
  </r>
  <r>
    <x v="33"/>
    <x v="31"/>
    <x v="7"/>
    <x v="2"/>
    <x v="1"/>
    <x v="0"/>
    <x v="2"/>
    <x v="2"/>
    <x v="4"/>
    <x v="5"/>
  </r>
  <r>
    <x v="34"/>
    <x v="32"/>
    <x v="1"/>
    <x v="0"/>
    <x v="2"/>
    <x v="0"/>
    <x v="3"/>
    <x v="3"/>
    <x v="5"/>
    <x v="1"/>
  </r>
  <r>
    <x v="35"/>
    <x v="33"/>
    <x v="7"/>
    <x v="2"/>
    <x v="0"/>
    <x v="0"/>
    <x v="3"/>
    <x v="0"/>
    <x v="1"/>
    <x v="2"/>
  </r>
  <r>
    <x v="36"/>
    <x v="18"/>
    <x v="5"/>
    <x v="3"/>
    <x v="4"/>
    <x v="0"/>
    <x v="2"/>
    <x v="2"/>
    <x v="0"/>
    <x v="4"/>
  </r>
  <r>
    <x v="37"/>
    <x v="34"/>
    <x v="3"/>
    <x v="0"/>
    <x v="0"/>
    <x v="2"/>
    <x v="2"/>
    <x v="3"/>
    <x v="5"/>
    <x v="0"/>
  </r>
  <r>
    <x v="38"/>
    <x v="35"/>
    <x v="2"/>
    <x v="2"/>
    <x v="3"/>
    <x v="1"/>
    <x v="2"/>
    <x v="1"/>
    <x v="5"/>
    <x v="3"/>
  </r>
  <r>
    <x v="39"/>
    <x v="36"/>
    <x v="0"/>
    <x v="0"/>
    <x v="0"/>
    <x v="3"/>
    <x v="1"/>
    <x v="1"/>
    <x v="3"/>
    <x v="5"/>
  </r>
  <r>
    <x v="40"/>
    <x v="37"/>
    <x v="0"/>
    <x v="2"/>
    <x v="0"/>
    <x v="0"/>
    <x v="3"/>
    <x v="2"/>
    <x v="2"/>
    <x v="2"/>
  </r>
  <r>
    <x v="41"/>
    <x v="38"/>
    <x v="1"/>
    <x v="1"/>
    <x v="3"/>
    <x v="1"/>
    <x v="2"/>
    <x v="2"/>
    <x v="5"/>
    <x v="3"/>
  </r>
  <r>
    <x v="42"/>
    <x v="34"/>
    <x v="3"/>
    <x v="0"/>
    <x v="1"/>
    <x v="2"/>
    <x v="2"/>
    <x v="2"/>
    <x v="2"/>
    <x v="3"/>
  </r>
  <r>
    <x v="43"/>
    <x v="39"/>
    <x v="0"/>
    <x v="2"/>
    <x v="3"/>
    <x v="2"/>
    <x v="3"/>
    <x v="1"/>
    <x v="3"/>
    <x v="2"/>
  </r>
  <r>
    <x v="44"/>
    <x v="40"/>
    <x v="0"/>
    <x v="0"/>
    <x v="5"/>
    <x v="0"/>
    <x v="3"/>
    <x v="3"/>
    <x v="2"/>
    <x v="1"/>
  </r>
  <r>
    <x v="45"/>
    <x v="41"/>
    <x v="1"/>
    <x v="2"/>
    <x v="4"/>
    <x v="3"/>
    <x v="0"/>
    <x v="2"/>
    <x v="5"/>
    <x v="0"/>
  </r>
  <r>
    <x v="46"/>
    <x v="42"/>
    <x v="0"/>
    <x v="0"/>
    <x v="3"/>
    <x v="1"/>
    <x v="0"/>
    <x v="3"/>
    <x v="0"/>
    <x v="5"/>
  </r>
  <r>
    <x v="47"/>
    <x v="43"/>
    <x v="6"/>
    <x v="2"/>
    <x v="4"/>
    <x v="3"/>
    <x v="3"/>
    <x v="1"/>
    <x v="4"/>
    <x v="0"/>
  </r>
  <r>
    <x v="48"/>
    <x v="7"/>
    <x v="7"/>
    <x v="1"/>
    <x v="4"/>
    <x v="0"/>
    <x v="0"/>
    <x v="0"/>
    <x v="3"/>
    <x v="4"/>
  </r>
  <r>
    <x v="49"/>
    <x v="33"/>
    <x v="3"/>
    <x v="4"/>
    <x v="2"/>
    <x v="1"/>
    <x v="1"/>
    <x v="2"/>
    <x v="5"/>
    <x v="3"/>
  </r>
  <r>
    <x v="50"/>
    <x v="44"/>
    <x v="5"/>
    <x v="1"/>
    <x v="1"/>
    <x v="2"/>
    <x v="0"/>
    <x v="0"/>
    <x v="4"/>
    <x v="0"/>
  </r>
  <r>
    <x v="51"/>
    <x v="29"/>
    <x v="4"/>
    <x v="2"/>
    <x v="2"/>
    <x v="1"/>
    <x v="1"/>
    <x v="3"/>
    <x v="3"/>
    <x v="3"/>
  </r>
  <r>
    <x v="52"/>
    <x v="45"/>
    <x v="7"/>
    <x v="4"/>
    <x v="3"/>
    <x v="2"/>
    <x v="2"/>
    <x v="0"/>
    <x v="4"/>
    <x v="1"/>
  </r>
  <r>
    <x v="53"/>
    <x v="46"/>
    <x v="0"/>
    <x v="2"/>
    <x v="2"/>
    <x v="2"/>
    <x v="0"/>
    <x v="3"/>
    <x v="4"/>
    <x v="4"/>
  </r>
  <r>
    <x v="54"/>
    <x v="47"/>
    <x v="0"/>
    <x v="0"/>
    <x v="0"/>
    <x v="0"/>
    <x v="1"/>
    <x v="0"/>
    <x v="2"/>
    <x v="2"/>
  </r>
  <r>
    <x v="55"/>
    <x v="48"/>
    <x v="3"/>
    <x v="0"/>
    <x v="5"/>
    <x v="1"/>
    <x v="2"/>
    <x v="0"/>
    <x v="4"/>
    <x v="1"/>
  </r>
  <r>
    <x v="56"/>
    <x v="47"/>
    <x v="3"/>
    <x v="0"/>
    <x v="5"/>
    <x v="2"/>
    <x v="2"/>
    <x v="2"/>
    <x v="5"/>
    <x v="4"/>
  </r>
  <r>
    <x v="57"/>
    <x v="49"/>
    <x v="0"/>
    <x v="1"/>
    <x v="0"/>
    <x v="1"/>
    <x v="3"/>
    <x v="2"/>
    <x v="2"/>
    <x v="3"/>
  </r>
  <r>
    <x v="58"/>
    <x v="18"/>
    <x v="1"/>
    <x v="1"/>
    <x v="3"/>
    <x v="1"/>
    <x v="2"/>
    <x v="1"/>
    <x v="5"/>
    <x v="2"/>
  </r>
  <r>
    <x v="59"/>
    <x v="50"/>
    <x v="2"/>
    <x v="0"/>
    <x v="3"/>
    <x v="3"/>
    <x v="0"/>
    <x v="1"/>
    <x v="4"/>
    <x v="3"/>
  </r>
  <r>
    <x v="60"/>
    <x v="51"/>
    <x v="0"/>
    <x v="2"/>
    <x v="1"/>
    <x v="1"/>
    <x v="2"/>
    <x v="1"/>
    <x v="2"/>
    <x v="4"/>
  </r>
  <r>
    <x v="61"/>
    <x v="52"/>
    <x v="1"/>
    <x v="1"/>
    <x v="4"/>
    <x v="1"/>
    <x v="1"/>
    <x v="2"/>
    <x v="5"/>
    <x v="4"/>
  </r>
  <r>
    <x v="62"/>
    <x v="53"/>
    <x v="6"/>
    <x v="2"/>
    <x v="0"/>
    <x v="0"/>
    <x v="2"/>
    <x v="3"/>
    <x v="2"/>
    <x v="5"/>
  </r>
  <r>
    <x v="63"/>
    <x v="37"/>
    <x v="7"/>
    <x v="0"/>
    <x v="5"/>
    <x v="3"/>
    <x v="2"/>
    <x v="3"/>
    <x v="5"/>
    <x v="2"/>
  </r>
  <r>
    <x v="64"/>
    <x v="54"/>
    <x v="2"/>
    <x v="4"/>
    <x v="0"/>
    <x v="2"/>
    <x v="0"/>
    <x v="2"/>
    <x v="1"/>
    <x v="5"/>
  </r>
  <r>
    <x v="65"/>
    <x v="49"/>
    <x v="5"/>
    <x v="0"/>
    <x v="4"/>
    <x v="2"/>
    <x v="3"/>
    <x v="2"/>
    <x v="0"/>
    <x v="3"/>
  </r>
  <r>
    <x v="66"/>
    <x v="55"/>
    <x v="3"/>
    <x v="1"/>
    <x v="1"/>
    <x v="0"/>
    <x v="3"/>
    <x v="1"/>
    <x v="5"/>
    <x v="5"/>
  </r>
  <r>
    <x v="67"/>
    <x v="41"/>
    <x v="3"/>
    <x v="0"/>
    <x v="1"/>
    <x v="2"/>
    <x v="1"/>
    <x v="0"/>
    <x v="4"/>
    <x v="1"/>
  </r>
  <r>
    <x v="68"/>
    <x v="35"/>
    <x v="1"/>
    <x v="2"/>
    <x v="4"/>
    <x v="3"/>
    <x v="2"/>
    <x v="0"/>
    <x v="0"/>
    <x v="0"/>
  </r>
  <r>
    <x v="69"/>
    <x v="56"/>
    <x v="7"/>
    <x v="2"/>
    <x v="1"/>
    <x v="1"/>
    <x v="1"/>
    <x v="2"/>
    <x v="5"/>
    <x v="2"/>
  </r>
  <r>
    <x v="70"/>
    <x v="57"/>
    <x v="6"/>
    <x v="3"/>
    <x v="3"/>
    <x v="0"/>
    <x v="0"/>
    <x v="2"/>
    <x v="0"/>
    <x v="3"/>
  </r>
  <r>
    <x v="71"/>
    <x v="58"/>
    <x v="1"/>
    <x v="2"/>
    <x v="5"/>
    <x v="3"/>
    <x v="0"/>
    <x v="3"/>
    <x v="4"/>
    <x v="2"/>
  </r>
  <r>
    <x v="72"/>
    <x v="59"/>
    <x v="3"/>
    <x v="2"/>
    <x v="4"/>
    <x v="2"/>
    <x v="0"/>
    <x v="2"/>
    <x v="3"/>
    <x v="5"/>
  </r>
  <r>
    <x v="73"/>
    <x v="60"/>
    <x v="3"/>
    <x v="2"/>
    <x v="3"/>
    <x v="0"/>
    <x v="3"/>
    <x v="1"/>
    <x v="4"/>
    <x v="1"/>
  </r>
  <r>
    <x v="74"/>
    <x v="5"/>
    <x v="7"/>
    <x v="4"/>
    <x v="5"/>
    <x v="3"/>
    <x v="1"/>
    <x v="0"/>
    <x v="1"/>
    <x v="2"/>
  </r>
  <r>
    <x v="75"/>
    <x v="61"/>
    <x v="3"/>
    <x v="3"/>
    <x v="2"/>
    <x v="3"/>
    <x v="0"/>
    <x v="1"/>
    <x v="3"/>
    <x v="2"/>
  </r>
  <r>
    <x v="76"/>
    <x v="62"/>
    <x v="6"/>
    <x v="3"/>
    <x v="2"/>
    <x v="0"/>
    <x v="2"/>
    <x v="2"/>
    <x v="2"/>
    <x v="3"/>
  </r>
  <r>
    <x v="77"/>
    <x v="63"/>
    <x v="6"/>
    <x v="4"/>
    <x v="3"/>
    <x v="0"/>
    <x v="1"/>
    <x v="1"/>
    <x v="0"/>
    <x v="0"/>
  </r>
  <r>
    <x v="78"/>
    <x v="64"/>
    <x v="1"/>
    <x v="1"/>
    <x v="5"/>
    <x v="0"/>
    <x v="3"/>
    <x v="2"/>
    <x v="0"/>
    <x v="4"/>
  </r>
  <r>
    <x v="79"/>
    <x v="65"/>
    <x v="5"/>
    <x v="0"/>
    <x v="0"/>
    <x v="3"/>
    <x v="0"/>
    <x v="2"/>
    <x v="1"/>
    <x v="2"/>
  </r>
  <r>
    <x v="80"/>
    <x v="66"/>
    <x v="4"/>
    <x v="1"/>
    <x v="3"/>
    <x v="0"/>
    <x v="0"/>
    <x v="3"/>
    <x v="1"/>
    <x v="0"/>
  </r>
  <r>
    <x v="81"/>
    <x v="67"/>
    <x v="5"/>
    <x v="1"/>
    <x v="5"/>
    <x v="2"/>
    <x v="3"/>
    <x v="1"/>
    <x v="0"/>
    <x v="1"/>
  </r>
  <r>
    <x v="82"/>
    <x v="68"/>
    <x v="1"/>
    <x v="3"/>
    <x v="4"/>
    <x v="2"/>
    <x v="1"/>
    <x v="0"/>
    <x v="3"/>
    <x v="2"/>
  </r>
  <r>
    <x v="83"/>
    <x v="69"/>
    <x v="2"/>
    <x v="0"/>
    <x v="4"/>
    <x v="3"/>
    <x v="2"/>
    <x v="3"/>
    <x v="2"/>
    <x v="3"/>
  </r>
  <r>
    <x v="84"/>
    <x v="70"/>
    <x v="4"/>
    <x v="2"/>
    <x v="2"/>
    <x v="1"/>
    <x v="3"/>
    <x v="3"/>
    <x v="5"/>
    <x v="1"/>
  </r>
  <r>
    <x v="85"/>
    <x v="56"/>
    <x v="7"/>
    <x v="2"/>
    <x v="3"/>
    <x v="0"/>
    <x v="0"/>
    <x v="3"/>
    <x v="4"/>
    <x v="3"/>
  </r>
  <r>
    <x v="86"/>
    <x v="71"/>
    <x v="5"/>
    <x v="2"/>
    <x v="4"/>
    <x v="2"/>
    <x v="3"/>
    <x v="0"/>
    <x v="2"/>
    <x v="5"/>
  </r>
  <r>
    <x v="87"/>
    <x v="72"/>
    <x v="0"/>
    <x v="3"/>
    <x v="1"/>
    <x v="2"/>
    <x v="0"/>
    <x v="0"/>
    <x v="3"/>
    <x v="3"/>
  </r>
  <r>
    <x v="88"/>
    <x v="3"/>
    <x v="6"/>
    <x v="3"/>
    <x v="0"/>
    <x v="1"/>
    <x v="0"/>
    <x v="2"/>
    <x v="5"/>
    <x v="0"/>
  </r>
  <r>
    <x v="89"/>
    <x v="73"/>
    <x v="1"/>
    <x v="1"/>
    <x v="3"/>
    <x v="0"/>
    <x v="0"/>
    <x v="3"/>
    <x v="0"/>
    <x v="5"/>
  </r>
  <r>
    <x v="90"/>
    <x v="74"/>
    <x v="7"/>
    <x v="4"/>
    <x v="0"/>
    <x v="1"/>
    <x v="2"/>
    <x v="1"/>
    <x v="5"/>
    <x v="2"/>
  </r>
  <r>
    <x v="91"/>
    <x v="7"/>
    <x v="0"/>
    <x v="1"/>
    <x v="5"/>
    <x v="0"/>
    <x v="1"/>
    <x v="1"/>
    <x v="1"/>
    <x v="5"/>
  </r>
  <r>
    <x v="92"/>
    <x v="75"/>
    <x v="2"/>
    <x v="4"/>
    <x v="4"/>
    <x v="1"/>
    <x v="3"/>
    <x v="3"/>
    <x v="1"/>
    <x v="4"/>
  </r>
  <r>
    <x v="93"/>
    <x v="76"/>
    <x v="7"/>
    <x v="2"/>
    <x v="1"/>
    <x v="0"/>
    <x v="1"/>
    <x v="1"/>
    <x v="1"/>
    <x v="0"/>
  </r>
  <r>
    <x v="94"/>
    <x v="77"/>
    <x v="1"/>
    <x v="1"/>
    <x v="1"/>
    <x v="0"/>
    <x v="1"/>
    <x v="2"/>
    <x v="4"/>
    <x v="1"/>
  </r>
  <r>
    <x v="95"/>
    <x v="78"/>
    <x v="3"/>
    <x v="2"/>
    <x v="3"/>
    <x v="0"/>
    <x v="2"/>
    <x v="2"/>
    <x v="4"/>
    <x v="4"/>
  </r>
  <r>
    <x v="96"/>
    <x v="31"/>
    <x v="4"/>
    <x v="3"/>
    <x v="2"/>
    <x v="2"/>
    <x v="1"/>
    <x v="1"/>
    <x v="4"/>
    <x v="1"/>
  </r>
  <r>
    <x v="97"/>
    <x v="79"/>
    <x v="4"/>
    <x v="4"/>
    <x v="4"/>
    <x v="2"/>
    <x v="3"/>
    <x v="3"/>
    <x v="5"/>
    <x v="0"/>
  </r>
  <r>
    <x v="98"/>
    <x v="80"/>
    <x v="7"/>
    <x v="0"/>
    <x v="0"/>
    <x v="0"/>
    <x v="3"/>
    <x v="2"/>
    <x v="4"/>
    <x v="2"/>
  </r>
  <r>
    <x v="99"/>
    <x v="18"/>
    <x v="5"/>
    <x v="4"/>
    <x v="4"/>
    <x v="2"/>
    <x v="1"/>
    <x v="3"/>
    <x v="0"/>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CUST1000"/>
    <x v="0"/>
    <s v="India"/>
    <s v="Karnataka"/>
    <n v="9515759149"/>
    <x v="0"/>
    <s v="Shirt"/>
    <n v="2439.81"/>
    <n v="5"/>
    <x v="0"/>
    <s v="Credit Card"/>
    <x v="0"/>
    <s v="Medium"/>
    <n v="29.18"/>
  </r>
  <r>
    <s v="CUST1001"/>
    <x v="0"/>
    <s v="India"/>
    <s v="Karnataka"/>
    <n v="9720381947"/>
    <x v="1"/>
    <s v="Table"/>
    <n v="1621.43"/>
    <n v="13"/>
    <x v="1"/>
    <s v="Net Banking"/>
    <x v="1"/>
    <s v="High"/>
    <n v="19.12"/>
  </r>
  <r>
    <s v="CUST1002"/>
    <x v="1"/>
    <s v="India"/>
    <s v="West Bengal"/>
    <n v="9483465530"/>
    <x v="0"/>
    <s v="T-shirt"/>
    <n v="1363.73"/>
    <n v="1"/>
    <x v="2"/>
    <s v="Net Banking"/>
    <x v="2"/>
    <s v="Low"/>
    <n v="26.56"/>
  </r>
  <r>
    <s v="CUST1003"/>
    <x v="1"/>
    <s v="India"/>
    <s v="West Bengal"/>
    <n v="9350165589"/>
    <x v="1"/>
    <s v="Sofa"/>
    <n v="1172.93"/>
    <n v="5"/>
    <x v="3"/>
    <s v="Cash"/>
    <x v="3"/>
    <s v="Medium"/>
    <n v="26.3"/>
  </r>
  <r>
    <s v="CUST1004"/>
    <x v="1"/>
    <s v="India"/>
    <s v="Karnataka"/>
    <n v="9621991901"/>
    <x v="0"/>
    <s v="Jeans"/>
    <n v="2457.56"/>
    <n v="13"/>
    <x v="4"/>
    <s v="Credit Card"/>
    <x v="4"/>
    <s v="High"/>
    <n v="21.82"/>
  </r>
  <r>
    <s v="CUST1005"/>
    <x v="1"/>
    <s v="India"/>
    <s v="West Bengal"/>
    <n v="9734105442"/>
    <x v="0"/>
    <s v="Dress"/>
    <n v="2661.44"/>
    <n v="7"/>
    <x v="5"/>
    <s v="Net Banking"/>
    <x v="5"/>
    <s v="High"/>
    <n v="13.86"/>
  </r>
  <r>
    <s v="CUST1006"/>
    <x v="2"/>
    <s v="India"/>
    <s v="Tamil Nadu"/>
    <n v="9117390999"/>
    <x v="0"/>
    <s v="T-shirt"/>
    <n v="1400.82"/>
    <n v="6"/>
    <x v="6"/>
    <s v="UPI"/>
    <x v="2"/>
    <s v="Low"/>
    <n v="72.92"/>
  </r>
  <r>
    <s v="CUST1007"/>
    <x v="0"/>
    <s v="India"/>
    <s v="Karnataka"/>
    <n v="9513032833"/>
    <x v="1"/>
    <s v="Chair"/>
    <n v="416.18"/>
    <n v="3"/>
    <x v="7"/>
    <s v="Net Banking"/>
    <x v="6"/>
    <s v="Low"/>
    <n v="26.26"/>
  </r>
  <r>
    <s v="CUST1008"/>
    <x v="1"/>
    <s v="India"/>
    <s v="Maharashtra"/>
    <n v="95543976868"/>
    <x v="1"/>
    <s v="Chair"/>
    <n v="1290.47"/>
    <n v="6"/>
    <x v="8"/>
    <s v="Net Banking"/>
    <x v="6"/>
    <s v="Low"/>
    <n v="83.73"/>
  </r>
  <r>
    <s v="CUST1009"/>
    <x v="0"/>
    <s v="India"/>
    <s v="Gujarat"/>
    <n v="9866250123"/>
    <x v="0"/>
    <s v="T-shirt"/>
    <n v="2519.94"/>
    <n v="15"/>
    <x v="9"/>
    <s v="Cash"/>
    <x v="2"/>
    <s v="Low"/>
    <n v="815.65"/>
  </r>
  <r>
    <s v="CUST1010"/>
    <x v="1"/>
    <s v="India"/>
    <s v="Rajasthan"/>
    <n v="9884314044"/>
    <x v="0"/>
    <s v="T-shirt"/>
    <n v="2814.97"/>
    <n v="1"/>
    <x v="10"/>
    <s v="Net Banking"/>
    <x v="2"/>
    <s v="Low"/>
    <n v="52.51"/>
  </r>
  <r>
    <s v="CUST1011"/>
    <x v="2"/>
    <s v="India"/>
    <s v="West Bengal"/>
    <n v="9192128284"/>
    <x v="0"/>
    <s v="Jeans"/>
    <n v="841.72"/>
    <n v="13"/>
    <x v="11"/>
    <s v="UPI"/>
    <x v="4"/>
    <s v="High"/>
    <n v="6.67"/>
  </r>
  <r>
    <s v="CUST1012"/>
    <x v="3"/>
    <s v="India"/>
    <s v="West Bengal"/>
    <n v="9731590483"/>
    <x v="2"/>
    <s v="Tablet"/>
    <n v="1169.28"/>
    <n v="2"/>
    <x v="12"/>
    <s v="Credit Card"/>
    <x v="7"/>
    <s v="Low"/>
    <n v="11.71"/>
  </r>
  <r>
    <s v="CUST1013"/>
    <x v="0"/>
    <s v="India"/>
    <s v="Karnataka"/>
    <n v="9245312903"/>
    <x v="1"/>
    <s v="Bookshelf"/>
    <n v="2320.0300000000002"/>
    <n v="3"/>
    <x v="13"/>
    <s v="Credit Card"/>
    <x v="8"/>
    <s v="Medium"/>
    <n v="18.11"/>
  </r>
  <r>
    <s v="CUST1014"/>
    <x v="3"/>
    <s v="India"/>
    <s v="West Bengal"/>
    <n v="9587137236"/>
    <x v="0"/>
    <s v="T-shirt"/>
    <n v="1780.66"/>
    <n v="11"/>
    <x v="14"/>
    <s v="UPI"/>
    <x v="2"/>
    <s v="Low"/>
    <n v="207.29"/>
  </r>
  <r>
    <s v="CUST1015"/>
    <x v="3"/>
    <s v="India"/>
    <s v="Tamil Nadu"/>
    <n v="9161819590"/>
    <x v="2"/>
    <s v="Monitor"/>
    <n v="2672"/>
    <n v="15"/>
    <x v="15"/>
    <s v="Cash"/>
    <x v="9"/>
    <s v="High"/>
    <n v="11.78"/>
  </r>
  <r>
    <s v="CUST1016"/>
    <x v="1"/>
    <s v="India"/>
    <s v="West Bengal"/>
    <n v="9551484924"/>
    <x v="0"/>
    <s v="Jacket"/>
    <n v="824.49"/>
    <n v="9"/>
    <x v="16"/>
    <s v="Debit Card"/>
    <x v="10"/>
    <s v="Medium"/>
    <n v="18.91"/>
  </r>
  <r>
    <s v="CUST1017"/>
    <x v="2"/>
    <s v="India"/>
    <s v="Uttar Pradesh"/>
    <n v="91682255459"/>
    <x v="2"/>
    <s v="Headphones"/>
    <n v="2896.96"/>
    <n v="7"/>
    <x v="17"/>
    <s v="Net Banking"/>
    <x v="11"/>
    <s v="High"/>
    <n v="17.399999999999999"/>
  </r>
  <r>
    <s v="CUST1018"/>
    <x v="1"/>
    <s v="India"/>
    <s v="Maharashtra"/>
    <n v="9277023818"/>
    <x v="2"/>
    <s v="Monitor"/>
    <n v="1235.32"/>
    <n v="9"/>
    <x v="18"/>
    <s v="Debit Card"/>
    <x v="9"/>
    <s v="High"/>
    <n v="6.34"/>
  </r>
  <r>
    <s v="CUST1019"/>
    <x v="2"/>
    <s v="India"/>
    <s v="Gujarat"/>
    <n v="9670448490"/>
    <x v="1"/>
    <s v="Table"/>
    <n v="2168.33"/>
    <n v="3"/>
    <x v="19"/>
    <s v="Cash"/>
    <x v="1"/>
    <s v="High"/>
    <n v="6.62"/>
  </r>
  <r>
    <s v="CUST1020"/>
    <x v="2"/>
    <s v="India"/>
    <s v="West Bengal"/>
    <n v="9123788207"/>
    <x v="0"/>
    <s v="Jacket"/>
    <n v="2654.54"/>
    <n v="5"/>
    <x v="20"/>
    <s v="Debit Card"/>
    <x v="10"/>
    <s v="Medium"/>
    <n v="44.59"/>
  </r>
  <r>
    <s v="CUST1021"/>
    <x v="0"/>
    <s v="India"/>
    <s v="Tamil Nadu"/>
    <n v="99831923457"/>
    <x v="2"/>
    <s v="Laptop"/>
    <n v="1313.77"/>
    <n v="7"/>
    <x v="21"/>
    <s v="Cash"/>
    <x v="12"/>
    <s v="Medium"/>
    <n v="26.48"/>
  </r>
  <r>
    <s v="CUST1022"/>
    <x v="2"/>
    <s v="India"/>
    <s v="Gujarat"/>
    <n v="9822358874"/>
    <x v="2"/>
    <s v="Headphones"/>
    <n v="1602.24"/>
    <n v="13"/>
    <x v="22"/>
    <s v="Debit Card"/>
    <x v="11"/>
    <s v="High"/>
    <n v="15.2"/>
  </r>
  <r>
    <s v="CUST1023"/>
    <x v="0"/>
    <s v="India"/>
    <s v="Uttar Pradesh"/>
    <n v="9497595031"/>
    <x v="1"/>
    <s v="Sofa"/>
    <n v="592.33000000000004"/>
    <n v="4"/>
    <x v="23"/>
    <s v="Net Banking"/>
    <x v="3"/>
    <s v="Medium"/>
    <n v="9.1999999999999993"/>
  </r>
  <r>
    <s v="CUST1024"/>
    <x v="1"/>
    <s v="India"/>
    <s v="Rajasthan"/>
    <n v="9781615192"/>
    <x v="2"/>
    <s v="Monitor"/>
    <n v="589.14"/>
    <n v="8"/>
    <x v="24"/>
    <s v="Cash"/>
    <x v="9"/>
    <s v="High"/>
    <n v="3.13"/>
  </r>
  <r>
    <s v="CUST1025"/>
    <x v="3"/>
    <s v="India"/>
    <s v="Uttar Pradesh"/>
    <n v="9310431691"/>
    <x v="1"/>
    <s v="Chair"/>
    <n v="2354.6"/>
    <n v="4"/>
    <x v="25"/>
    <s v="Credit Card"/>
    <x v="6"/>
    <s v="Low"/>
    <n v="206.28"/>
  </r>
  <r>
    <s v="CUST1026"/>
    <x v="2"/>
    <s v="India"/>
    <s v="Uttar Pradesh"/>
    <n v="9375633062"/>
    <x v="2"/>
    <s v="Smartphone"/>
    <n v="1920.55"/>
    <n v="6"/>
    <x v="26"/>
    <s v="Credit Card"/>
    <x v="13"/>
    <s v="Medium"/>
    <n v="19.57"/>
  </r>
  <r>
    <s v="CUST1027"/>
    <x v="2"/>
    <s v="India"/>
    <s v="West Bengal"/>
    <n v="9958467371"/>
    <x v="0"/>
    <s v="Dress"/>
    <n v="1086.4100000000001"/>
    <n v="7"/>
    <x v="27"/>
    <s v="Credit Card"/>
    <x v="5"/>
    <s v="High"/>
    <n v="11.09"/>
  </r>
  <r>
    <s v="CUST1028"/>
    <x v="2"/>
    <s v="India"/>
    <s v="West Bengal"/>
    <n v="9485913642"/>
    <x v="1"/>
    <s v="Bookshelf"/>
    <n v="1181.07"/>
    <n v="13"/>
    <x v="28"/>
    <s v="Cash"/>
    <x v="8"/>
    <s v="Medium"/>
    <n v="54.9"/>
  </r>
  <r>
    <s v="CUST1029"/>
    <x v="2"/>
    <s v="India"/>
    <s v="Uttar Pradesh"/>
    <n v="9942727052"/>
    <x v="1"/>
    <s v="Cupboard"/>
    <n v="2521.1999999999998"/>
    <n v="8"/>
    <x v="29"/>
    <s v="Credit Card"/>
    <x v="14"/>
    <s v="High"/>
    <n v="29.98"/>
  </r>
  <r>
    <s v="CUST1030"/>
    <x v="1"/>
    <s v="India"/>
    <s v="Gujarat"/>
    <n v="9164209990"/>
    <x v="0"/>
    <s v="Jeans"/>
    <n v="1741.71"/>
    <n v="15"/>
    <x v="30"/>
    <s v="UPI"/>
    <x v="4"/>
    <s v="High"/>
    <n v="12.6"/>
  </r>
  <r>
    <s v="CUST1031"/>
    <x v="1"/>
    <s v="India"/>
    <s v="Uttar Pradesh"/>
    <n v="9972130283"/>
    <x v="1"/>
    <s v="Sofa"/>
    <n v="1691.18"/>
    <n v="9"/>
    <x v="31"/>
    <s v="Net Banking"/>
    <x v="3"/>
    <s v="Medium"/>
    <n v="56.04"/>
  </r>
  <r>
    <s v="CUST1032"/>
    <x v="1"/>
    <s v="India"/>
    <s v="Uttar Pradesh"/>
    <n v="9305312346"/>
    <x v="0"/>
    <s v="Jacket"/>
    <n v="2430.4899999999998"/>
    <n v="1"/>
    <x v="32"/>
    <s v="Debit Card"/>
    <x v="10"/>
    <s v="Medium"/>
    <n v="7.25"/>
  </r>
  <r>
    <s v="CUST1033"/>
    <x v="0"/>
    <s v="India"/>
    <s v="Uttar Pradesh"/>
    <n v="9403336927"/>
    <x v="0"/>
    <s v="Dress"/>
    <n v="1937.5"/>
    <n v="10"/>
    <x v="33"/>
    <s v="UPI"/>
    <x v="5"/>
    <s v="High"/>
    <n v="13.68"/>
  </r>
  <r>
    <s v="CUST1034"/>
    <x v="3"/>
    <s v="India"/>
    <s v="Karnataka"/>
    <n v="9209432112"/>
    <x v="0"/>
    <s v="T-shirt"/>
    <n v="2848.61"/>
    <n v="15"/>
    <x v="34"/>
    <s v="Debit Card"/>
    <x v="2"/>
    <s v="Low"/>
    <n v="453.81"/>
  </r>
  <r>
    <s v="CUST1035"/>
    <x v="3"/>
    <s v="India"/>
    <s v="Maharashtra"/>
    <n v="92886736565"/>
    <x v="1"/>
    <s v="Cupboard"/>
    <n v="537.01"/>
    <n v="15"/>
    <x v="35"/>
    <s v="Debit Card"/>
    <x v="14"/>
    <s v="High"/>
    <n v="4.21"/>
  </r>
  <r>
    <s v="CUST1036"/>
    <x v="2"/>
    <s v="India"/>
    <s v="Karnataka"/>
    <n v="9696039067"/>
    <x v="1"/>
    <s v="Sofa"/>
    <n v="2052.79"/>
    <n v="1"/>
    <x v="36"/>
    <s v="Net Banking"/>
    <x v="3"/>
    <s v="Medium"/>
    <n v="5.0599999999999996"/>
  </r>
  <r>
    <s v="CUST1037"/>
    <x v="2"/>
    <s v="India"/>
    <s v="Maharashtra"/>
    <n v="9729755086"/>
    <x v="0"/>
    <s v="Jacket"/>
    <n v="1708.1"/>
    <n v="3"/>
    <x v="37"/>
    <s v="Credit Card"/>
    <x v="10"/>
    <s v="Medium"/>
    <n v="12.09"/>
  </r>
  <r>
    <s v="CUST1038"/>
    <x v="2"/>
    <s v="India"/>
    <s v="Uttar Pradesh"/>
    <n v="9291717779"/>
    <x v="2"/>
    <s v="Headphones"/>
    <n v="1616.55"/>
    <n v="14"/>
    <x v="38"/>
    <s v="Credit Card"/>
    <x v="11"/>
    <s v="High"/>
    <n v="32.65"/>
  </r>
  <r>
    <s v="CUST1039"/>
    <x v="2"/>
    <s v="India"/>
    <s v="Karnataka"/>
    <n v="9596984707"/>
    <x v="0"/>
    <s v="Jeans"/>
    <n v="1774.62"/>
    <n v="7"/>
    <x v="39"/>
    <s v="Credit Card"/>
    <x v="4"/>
    <s v="High"/>
    <n v="10.57"/>
  </r>
  <r>
    <s v="CUST1040"/>
    <x v="1"/>
    <s v="India"/>
    <s v="Gujarat"/>
    <n v="9621477109"/>
    <x v="2"/>
    <s v="Smartphone"/>
    <n v="644.14"/>
    <n v="12"/>
    <x v="40"/>
    <s v="Cash"/>
    <x v="13"/>
    <s v="Medium"/>
    <n v="8.58"/>
  </r>
  <r>
    <s v="CUST1041"/>
    <x v="1"/>
    <s v="India"/>
    <s v="West Bengal"/>
    <n v="9813614929"/>
    <x v="1"/>
    <s v="Sofa"/>
    <n v="1767.47"/>
    <n v="13"/>
    <x v="41"/>
    <s v="UPI"/>
    <x v="3"/>
    <s v="Medium"/>
    <n v="57.18"/>
  </r>
  <r>
    <s v="CUST1042"/>
    <x v="2"/>
    <s v="India"/>
    <s v="Tamil Nadu"/>
    <n v="9314930259"/>
    <x v="0"/>
    <s v="Dress"/>
    <n v="2506.6"/>
    <n v="11"/>
    <x v="42"/>
    <s v="UPI"/>
    <x v="5"/>
    <s v="High"/>
    <n v="43"/>
  </r>
  <r>
    <s v="CUST1043"/>
    <x v="0"/>
    <s v="India"/>
    <s v="West Bengal"/>
    <n v="93262535688"/>
    <x v="2"/>
    <s v="Tablet"/>
    <n v="727.87"/>
    <n v="2"/>
    <x v="43"/>
    <s v="Credit Card"/>
    <x v="7"/>
    <s v="Low"/>
    <n v="16.5"/>
  </r>
  <r>
    <s v="CUST1044"/>
    <x v="0"/>
    <s v="India"/>
    <s v="Uttar Pradesh"/>
    <n v="9922473225"/>
    <x v="1"/>
    <s v="Sofa"/>
    <n v="2509.39"/>
    <n v="4"/>
    <x v="44"/>
    <s v="Credit Card"/>
    <x v="3"/>
    <s v="Medium"/>
    <n v="44.46"/>
  </r>
  <r>
    <s v="CUST1045"/>
    <x v="3"/>
    <s v="India"/>
    <s v="Rajasthan"/>
    <n v="9435049619"/>
    <x v="2"/>
    <s v="Monitor"/>
    <n v="254.27"/>
    <n v="5"/>
    <x v="45"/>
    <s v="Net Banking"/>
    <x v="9"/>
    <s v="High"/>
    <n v="0.62"/>
  </r>
  <r>
    <s v="CUST1046"/>
    <x v="2"/>
    <s v="India"/>
    <s v="Uttar Pradesh"/>
    <n v="9139717689"/>
    <x v="2"/>
    <s v="Tablet"/>
    <n v="1104.23"/>
    <n v="11"/>
    <x v="46"/>
    <s v="Credit Card"/>
    <x v="7"/>
    <s v="Low"/>
    <n v="80.540000000000006"/>
  </r>
  <r>
    <s v="CUST1047"/>
    <x v="1"/>
    <s v="India"/>
    <s v="West Bengal"/>
    <n v="9873282041"/>
    <x v="2"/>
    <s v="Laptop"/>
    <n v="861.53"/>
    <n v="3"/>
    <x v="47"/>
    <s v="Debit Card"/>
    <x v="12"/>
    <s v="Medium"/>
    <n v="5.24"/>
  </r>
  <r>
    <s v="CUST1048"/>
    <x v="3"/>
    <s v="India"/>
    <s v="West Bengal"/>
    <n v="9520705759"/>
    <x v="0"/>
    <s v="T-shirt"/>
    <n v="940.76"/>
    <n v="4"/>
    <x v="48"/>
    <s v="Debit Card"/>
    <x v="2"/>
    <s v="Low"/>
    <n v="61.78"/>
  </r>
  <r>
    <s v="CUST1049"/>
    <x v="2"/>
    <s v="India"/>
    <s v="West Bengal"/>
    <n v="9648648568"/>
    <x v="0"/>
    <s v="T-shirt"/>
    <n v="1505.5"/>
    <n v="11"/>
    <x v="49"/>
    <s v="Debit Card"/>
    <x v="2"/>
    <s v="Low"/>
    <n v="292.23"/>
  </r>
  <r>
    <s v="CUST1050"/>
    <x v="0"/>
    <s v="India"/>
    <s v="Uttar Pradesh"/>
    <n v="9416435713"/>
    <x v="0"/>
    <s v="Jeans"/>
    <n v="1477.49"/>
    <n v="11"/>
    <x v="50"/>
    <s v="Credit Card"/>
    <x v="4"/>
    <s v="High"/>
    <n v="7.6"/>
  </r>
  <r>
    <s v="CUST1051"/>
    <x v="2"/>
    <s v="India"/>
    <s v="Rajasthan"/>
    <n v="9211381294"/>
    <x v="1"/>
    <s v="Chair"/>
    <n v="704.64"/>
    <n v="2"/>
    <x v="51"/>
    <s v="UPI"/>
    <x v="6"/>
    <s v="Low"/>
    <n v="13.1"/>
  </r>
  <r>
    <s v="CUST1052"/>
    <x v="3"/>
    <s v="India"/>
    <s v="West Bengal"/>
    <n v="9791244114"/>
    <x v="1"/>
    <s v="Cupboard"/>
    <n v="2030.2"/>
    <n v="13"/>
    <x v="52"/>
    <s v="Net Banking"/>
    <x v="14"/>
    <s v="High"/>
    <n v="18.32"/>
  </r>
  <r>
    <s v="CUST1053"/>
    <x v="0"/>
    <s v="India"/>
    <s v="Rajasthan"/>
    <n v="9194670146"/>
    <x v="0"/>
    <s v="Shirt"/>
    <n v="1822.28"/>
    <n v="4"/>
    <x v="53"/>
    <s v="Cash"/>
    <x v="0"/>
    <s v="Medium"/>
    <n v="16.18"/>
  </r>
  <r>
    <s v="CUST1054"/>
    <x v="3"/>
    <s v="India"/>
    <s v="Maharashtra"/>
    <n v="9519275644"/>
    <x v="1"/>
    <s v="Sofa"/>
    <n v="600.17999999999995"/>
    <n v="11"/>
    <x v="54"/>
    <s v="Credit Card"/>
    <x v="3"/>
    <s v="Medium"/>
    <n v="26.01"/>
  </r>
  <r>
    <s v="CUST1055"/>
    <x v="1"/>
    <s v="India"/>
    <s v="Maharashtra"/>
    <n v="9520013561"/>
    <x v="0"/>
    <s v="T-shirt"/>
    <n v="2330.36"/>
    <n v="7"/>
    <x v="55"/>
    <s v="Debit Card"/>
    <x v="2"/>
    <s v="Low"/>
    <n v="259.01"/>
  </r>
  <r>
    <s v="CUST1056"/>
    <x v="3"/>
    <s v="India"/>
    <s v="Gujarat"/>
    <n v="95989895092"/>
    <x v="2"/>
    <s v="Headphones"/>
    <n v="1084.67"/>
    <n v="13"/>
    <x v="56"/>
    <s v="Cash"/>
    <x v="11"/>
    <s v="High"/>
    <n v="20.420000000000002"/>
  </r>
  <r>
    <s v="CUST1057"/>
    <x v="2"/>
    <s v="India"/>
    <s v="Uttar Pradesh"/>
    <n v="9499862542"/>
    <x v="1"/>
    <s v="Cupboard"/>
    <n v="1893.55"/>
    <n v="12"/>
    <x v="57"/>
    <s v="Net Banking"/>
    <x v="14"/>
    <s v="High"/>
    <n v="15.89"/>
  </r>
  <r>
    <s v="CUST1058"/>
    <x v="3"/>
    <s v="India"/>
    <s v="Gujarat"/>
    <n v="9724136290"/>
    <x v="1"/>
    <s v="Chair"/>
    <n v="1747.22"/>
    <n v="6"/>
    <x v="58"/>
    <s v="Cash"/>
    <x v="6"/>
    <s v="Low"/>
    <n v="214.51"/>
  </r>
  <r>
    <s v="CUST1059"/>
    <x v="2"/>
    <s v="India"/>
    <s v="Gujarat"/>
    <n v="9321909198"/>
    <x v="1"/>
    <s v="Bookshelf"/>
    <n v="287.31"/>
    <n v="8"/>
    <x v="59"/>
    <s v="Debit Card"/>
    <x v="8"/>
    <s v="Medium"/>
    <n v="5.48"/>
  </r>
  <r>
    <s v="CUST1060"/>
    <x v="3"/>
    <s v="India"/>
    <s v="Maharashtra"/>
    <n v="9760693305"/>
    <x v="0"/>
    <s v="Shirt"/>
    <n v="1700.05"/>
    <n v="2"/>
    <x v="60"/>
    <s v="UPI"/>
    <x v="0"/>
    <s v="Medium"/>
    <n v="3.15"/>
  </r>
  <r>
    <s v="CUST1061"/>
    <x v="2"/>
    <s v="India"/>
    <s v="Gujarat"/>
    <n v="9658575570"/>
    <x v="1"/>
    <s v="Bookshelf"/>
    <n v="1180.31"/>
    <n v="7"/>
    <x v="61"/>
    <s v="UPI"/>
    <x v="8"/>
    <s v="Medium"/>
    <n v="12.18"/>
  </r>
  <r>
    <s v="CUST1062"/>
    <x v="1"/>
    <s v="India"/>
    <s v="Gujarat"/>
    <n v="9950273824"/>
    <x v="1"/>
    <s v="Cupboard"/>
    <n v="653.35"/>
    <n v="4"/>
    <x v="62"/>
    <s v="Credit Card"/>
    <x v="14"/>
    <s v="High"/>
    <n v="1.71"/>
  </r>
  <r>
    <s v="CUST1063"/>
    <x v="1"/>
    <s v="India"/>
    <s v="Tamil Nadu"/>
    <n v="9898816813"/>
    <x v="2"/>
    <s v="Laptop"/>
    <n v="1881.74"/>
    <n v="4"/>
    <x v="63"/>
    <s v="Debit Card"/>
    <x v="12"/>
    <s v="Medium"/>
    <n v="14.83"/>
  </r>
  <r>
    <s v="CUST1064"/>
    <x v="3"/>
    <s v="India"/>
    <s v="Rajasthan"/>
    <n v="9571594565"/>
    <x v="1"/>
    <s v="Table"/>
    <n v="1206.3499999999999"/>
    <n v="15"/>
    <x v="64"/>
    <s v="UPI"/>
    <x v="1"/>
    <s v="High"/>
    <n v="13.29"/>
  </r>
  <r>
    <s v="CUST1065"/>
    <x v="1"/>
    <s v="India"/>
    <s v="Maharashtra"/>
    <n v="9684352160"/>
    <x v="0"/>
    <s v="Jacket"/>
    <n v="1849.95"/>
    <n v="5"/>
    <x v="65"/>
    <s v="Debit Card"/>
    <x v="10"/>
    <s v="Medium"/>
    <n v="28.45"/>
  </r>
  <r>
    <s v="CUST1066"/>
    <x v="0"/>
    <s v="India"/>
    <s v="West Bengal"/>
    <n v="9845713875"/>
    <x v="2"/>
    <s v="Tablet"/>
    <n v="1896.1"/>
    <n v="5"/>
    <x v="66"/>
    <s v="Debit Card"/>
    <x v="7"/>
    <s v="Low"/>
    <n v="114.45"/>
  </r>
  <r>
    <s v="CUST1067"/>
    <x v="1"/>
    <s v="India"/>
    <s v="Tamil Nadu"/>
    <n v="85"/>
    <x v="1"/>
    <s v="Bookshelf"/>
    <n v="1799.6"/>
    <n v="6"/>
    <x v="67"/>
    <s v="Cash"/>
    <x v="8"/>
    <s v="Medium"/>
    <n v="22.3"/>
  </r>
  <r>
    <s v="CUST1068"/>
    <x v="3"/>
    <s v="India"/>
    <s v="Karnataka"/>
    <n v="9304184751"/>
    <x v="1"/>
    <s v="Cupboard"/>
    <n v="1330.26"/>
    <n v="2"/>
    <x v="68"/>
    <s v="Credit Card"/>
    <x v="14"/>
    <s v="High"/>
    <n v="3.32"/>
  </r>
  <r>
    <s v="CUST1069"/>
    <x v="3"/>
    <s v="India"/>
    <s v="Rajasthan"/>
    <n v="9141039856"/>
    <x v="2"/>
    <s v="Smartphone"/>
    <n v="322.57"/>
    <n v="13"/>
    <x v="69"/>
    <s v="Debit Card"/>
    <x v="13"/>
    <s v="Medium"/>
    <n v="5.94"/>
  </r>
  <r>
    <s v="CUST1070"/>
    <x v="2"/>
    <s v="India"/>
    <s v="Tamil Nadu"/>
    <n v="9640589740"/>
    <x v="2"/>
    <s v="Tablet"/>
    <n v="1510.41"/>
    <n v="1"/>
    <x v="70"/>
    <s v="Net Banking"/>
    <x v="7"/>
    <s v="Low"/>
    <n v="18.59"/>
  </r>
  <r>
    <s v="CUST1071"/>
    <x v="1"/>
    <s v="India"/>
    <s v="Karnataka"/>
    <n v="9406517796"/>
    <x v="0"/>
    <s v="Dress"/>
    <n v="1085.52"/>
    <n v="4"/>
    <x v="71"/>
    <s v="Credit Card"/>
    <x v="5"/>
    <s v="High"/>
    <n v="4.0199999999999996"/>
  </r>
  <r>
    <s v="CUST1072"/>
    <x v="1"/>
    <s v="India"/>
    <s v="Maharashtra"/>
    <n v="9606169051"/>
    <x v="1"/>
    <s v="Table"/>
    <n v="1441.79"/>
    <n v="14"/>
    <x v="72"/>
    <s v="Debit Card"/>
    <x v="1"/>
    <s v="High"/>
    <n v="18.64"/>
  </r>
  <r>
    <s v="CUST1073"/>
    <x v="3"/>
    <s v="India"/>
    <s v="Rajasthan"/>
    <n v="9350461925"/>
    <x v="1"/>
    <s v="Cupboard"/>
    <n v="686.64"/>
    <n v="8"/>
    <x v="73"/>
    <s v="Credit Card"/>
    <x v="14"/>
    <s v="High"/>
    <n v="4.3499999999999996"/>
  </r>
  <r>
    <s v="CUST1074"/>
    <x v="0"/>
    <s v="India"/>
    <s v="West Bengal"/>
    <n v="9996467468"/>
    <x v="0"/>
    <s v="Dress"/>
    <n v="2830.64"/>
    <n v="6"/>
    <x v="74"/>
    <s v="Credit Card"/>
    <x v="5"/>
    <s v="High"/>
    <n v="9.83"/>
  </r>
  <r>
    <s v="CUST1075"/>
    <x v="0"/>
    <s v="India"/>
    <s v="Rajasthan"/>
    <n v="9128345710"/>
    <x v="2"/>
    <s v="Headphones"/>
    <n v="2619.08"/>
    <n v="6"/>
    <x v="75"/>
    <s v="Net Banking"/>
    <x v="11"/>
    <s v="High"/>
    <n v="20.93"/>
  </r>
  <r>
    <s v="CUST1076"/>
    <x v="2"/>
    <s v="India"/>
    <s v="Gujarat"/>
    <n v="9392055351"/>
    <x v="0"/>
    <s v="Jeans"/>
    <n v="503.93"/>
    <n v="11"/>
    <x v="76"/>
    <s v="Cash"/>
    <x v="4"/>
    <s v="High"/>
    <n v="3.7"/>
  </r>
  <r>
    <s v="CUST1077"/>
    <x v="1"/>
    <s v="India"/>
    <s v="Tamil Nadu"/>
    <n v="9980141994"/>
    <x v="1"/>
    <s v="Bookshelf"/>
    <n v="467.71"/>
    <n v="12"/>
    <x v="77"/>
    <s v="Credit Card"/>
    <x v="8"/>
    <s v="Medium"/>
    <n v="17.57"/>
  </r>
  <r>
    <s v="CUST1078"/>
    <x v="0"/>
    <s v="India"/>
    <s v="Maharashtra"/>
    <n v="9403999543"/>
    <x v="1"/>
    <s v="Chair"/>
    <n v="2307.34"/>
    <n v="14"/>
    <x v="78"/>
    <s v="Debit Card"/>
    <x v="6"/>
    <s v="Low"/>
    <n v="286.02999999999997"/>
  </r>
  <r>
    <s v="CUST1079"/>
    <x v="3"/>
    <s v="India"/>
    <s v="Uttar Pradesh"/>
    <n v="9164427200"/>
    <x v="2"/>
    <s v="Tablet"/>
    <n v="1513.57"/>
    <n v="14"/>
    <x v="79"/>
    <s v="Credit Card"/>
    <x v="7"/>
    <s v="Low"/>
    <n v="246.36"/>
  </r>
  <r>
    <s v="CUST1080"/>
    <x v="3"/>
    <s v="India"/>
    <s v="Maharashtra"/>
    <n v="858947"/>
    <x v="1"/>
    <s v="Cupboard"/>
    <n v="2213.4499999999998"/>
    <n v="3"/>
    <x v="80"/>
    <s v="Debit Card"/>
    <x v="14"/>
    <s v="High"/>
    <n v="4.3"/>
  </r>
  <r>
    <s v="CUST1081"/>
    <x v="1"/>
    <s v="India"/>
    <s v="Tamil Nadu"/>
    <n v="9789825611"/>
    <x v="0"/>
    <s v="Dress"/>
    <n v="384.21"/>
    <n v="5"/>
    <x v="81"/>
    <s v="Debit Card"/>
    <x v="5"/>
    <s v="High"/>
    <n v="1.9"/>
  </r>
  <r>
    <s v="CUST1082"/>
    <x v="2"/>
    <s v="India"/>
    <s v="Maharashtra"/>
    <n v="9371462183"/>
    <x v="2"/>
    <s v="Headphones"/>
    <n v="498.41"/>
    <n v="7"/>
    <x v="82"/>
    <s v="UPI"/>
    <x v="11"/>
    <s v="High"/>
    <n v="2.15"/>
  </r>
  <r>
    <s v="CUST1083"/>
    <x v="3"/>
    <s v="India"/>
    <s v="Maharashtra"/>
    <n v="9444893207"/>
    <x v="0"/>
    <s v="Dress"/>
    <n v="1599.24"/>
    <n v="10"/>
    <x v="83"/>
    <s v="UPI"/>
    <x v="5"/>
    <s v="High"/>
    <n v="23.45"/>
  </r>
  <r>
    <s v="CUST1084"/>
    <x v="0"/>
    <s v="India"/>
    <s v="Rajasthan"/>
    <n v="9339358166"/>
    <x v="1"/>
    <s v="Sofa"/>
    <n v="962.07"/>
    <n v="9"/>
    <x v="84"/>
    <s v="UPI"/>
    <x v="3"/>
    <s v="Medium"/>
    <n v="15.45"/>
  </r>
  <r>
    <s v="CUST1085"/>
    <x v="0"/>
    <s v="India"/>
    <s v="West Bengal"/>
    <n v="9119201960"/>
    <x v="1"/>
    <s v="Bookshelf"/>
    <n v="1673.22"/>
    <n v="7"/>
    <x v="85"/>
    <s v="Debit Card"/>
    <x v="8"/>
    <s v="Medium"/>
    <n v="27.8"/>
  </r>
  <r>
    <s v="CUST1086"/>
    <x v="0"/>
    <s v="India"/>
    <s v="Tamil Nadu"/>
    <n v="9161700373"/>
    <x v="0"/>
    <s v="T-shirt"/>
    <n v="791.24"/>
    <n v="4"/>
    <x v="86"/>
    <s v="UPI"/>
    <x v="2"/>
    <s v="Low"/>
    <n v="26.85"/>
  </r>
  <r>
    <s v="CUST1087"/>
    <x v="1"/>
    <s v="India"/>
    <s v="Uttar Pradesh"/>
    <n v="9242580997"/>
    <x v="0"/>
    <s v="Jeans"/>
    <n v="1210.8599999999999"/>
    <n v="3"/>
    <x v="87"/>
    <s v="UPI"/>
    <x v="4"/>
    <s v="High"/>
    <n v="2.19"/>
  </r>
  <r>
    <s v="CUST1088"/>
    <x v="3"/>
    <s v="India"/>
    <s v="Gujarat"/>
    <n v="9370714466"/>
    <x v="0"/>
    <s v="T-shirt"/>
    <n v="619.57000000000005"/>
    <n v="7"/>
    <x v="88"/>
    <s v="UPI"/>
    <x v="2"/>
    <s v="Low"/>
    <n v="41.27"/>
  </r>
  <r>
    <s v="CUST1089"/>
    <x v="0"/>
    <s v="India"/>
    <s v="Maharashtra"/>
    <n v="9427647839"/>
    <x v="2"/>
    <s v="Monitor"/>
    <n v="308.5"/>
    <n v="15"/>
    <x v="89"/>
    <s v="Credit Card"/>
    <x v="9"/>
    <s v="High"/>
    <n v="2"/>
  </r>
  <r>
    <s v="CUST1090"/>
    <x v="2"/>
    <s v="India"/>
    <s v="Maharashtra"/>
    <n v="9942075195"/>
    <x v="0"/>
    <s v="Dress"/>
    <n v="1853.37"/>
    <n v="5"/>
    <x v="90"/>
    <s v="Credit Card"/>
    <x v="5"/>
    <s v="High"/>
    <n v="8.92"/>
  </r>
  <r>
    <s v="CUST1091"/>
    <x v="1"/>
    <s v="India"/>
    <s v="Rajasthan"/>
    <n v="9857569233"/>
    <x v="0"/>
    <s v="Jacket"/>
    <n v="2501.48"/>
    <n v="6"/>
    <x v="91"/>
    <s v="Net Banking"/>
    <x v="10"/>
    <s v="Medium"/>
    <n v="55.83"/>
  </r>
  <r>
    <s v="CUST1092"/>
    <x v="1"/>
    <s v="India"/>
    <s v="Karnataka"/>
    <n v="9944969047"/>
    <x v="2"/>
    <s v="Laptop"/>
    <n v="2596.13"/>
    <n v="5"/>
    <x v="92"/>
    <s v="Net Banking"/>
    <x v="12"/>
    <s v="Medium"/>
    <n v="15.8"/>
  </r>
  <r>
    <s v="CUST1093"/>
    <x v="0"/>
    <s v="India"/>
    <s v="West Bengal"/>
    <n v="56428436"/>
    <x v="2"/>
    <s v="Headphones"/>
    <n v="2209.52"/>
    <n v="6"/>
    <x v="93"/>
    <s v="Net Banking"/>
    <x v="11"/>
    <s v="High"/>
    <n v="18.54"/>
  </r>
  <r>
    <s v="CUST1094"/>
    <x v="2"/>
    <s v="India"/>
    <s v="Gujarat"/>
    <n v="9705241364"/>
    <x v="1"/>
    <s v="Sofa"/>
    <n v="458.7"/>
    <n v="7"/>
    <x v="94"/>
    <s v="Net Banking"/>
    <x v="3"/>
    <s v="Medium"/>
    <n v="14.32"/>
  </r>
  <r>
    <s v="CUST1095"/>
    <x v="2"/>
    <s v="India"/>
    <s v="Karnataka"/>
    <n v="9245776255"/>
    <x v="0"/>
    <s v="Jeans"/>
    <n v="833.16"/>
    <n v="12"/>
    <x v="95"/>
    <s v="Net Banking"/>
    <x v="4"/>
    <s v="High"/>
    <n v="6.68"/>
  </r>
  <r>
    <s v="CUST1096"/>
    <x v="2"/>
    <s v="India"/>
    <s v="Uttar Pradesh"/>
    <n v="9881212856"/>
    <x v="0"/>
    <s v="Jeans"/>
    <n v="238.37"/>
    <n v="13"/>
    <x v="96"/>
    <s v="Net Banking"/>
    <x v="4"/>
    <s v="High"/>
    <n v="1.84"/>
  </r>
  <r>
    <s v="CUST1097"/>
    <x v="0"/>
    <s v="India"/>
    <s v="Gujarat"/>
    <n v="9916091858"/>
    <x v="0"/>
    <s v="Dress"/>
    <n v="820.05"/>
    <n v="3"/>
    <x v="97"/>
    <s v="UPI"/>
    <x v="5"/>
    <s v="High"/>
    <n v="2.25"/>
  </r>
  <r>
    <s v="CUST1098"/>
    <x v="3"/>
    <s v="India"/>
    <s v="Karnataka"/>
    <n v="9425191872"/>
    <x v="2"/>
    <s v="Headphones"/>
    <n v="2716.33"/>
    <n v="8"/>
    <x v="98"/>
    <s v="Net Banking"/>
    <x v="11"/>
    <s v="High"/>
    <n v="27.19"/>
  </r>
  <r>
    <s v="CUST1099"/>
    <x v="3"/>
    <s v="India"/>
    <s v="Uttar Pradesh"/>
    <n v="9459337548"/>
    <x v="0"/>
    <s v="Jacket"/>
    <n v="1918.81"/>
    <n v="1"/>
    <x v="99"/>
    <s v="Cash"/>
    <x v="10"/>
    <s v="Medium"/>
    <n v="5.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F8B193-C8DD-499F-A914-3E85DBA6D939}" name="PivotTable3"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14:B318" firstHeaderRow="1" firstDataRow="1" firstDataCol="1"/>
  <pivotFields count="14">
    <pivotField showAll="0"/>
    <pivotField showAll="0"/>
    <pivotField showAll="0"/>
    <pivotField showAll="0"/>
    <pivotField showAll="0"/>
    <pivotField axis="axisRow" showAll="0">
      <items count="4">
        <item x="0"/>
        <item x="2"/>
        <item x="1"/>
        <item t="default"/>
      </items>
    </pivotField>
    <pivotField showAll="0"/>
    <pivotField showAll="0"/>
    <pivotField dataField="1" showAll="0"/>
    <pivotField showAll="0"/>
    <pivotField showAll="0"/>
    <pivotField showAll="0"/>
    <pivotField showAll="0"/>
    <pivotField showAll="0"/>
  </pivotFields>
  <rowFields count="1">
    <field x="5"/>
  </rowFields>
  <rowItems count="4">
    <i>
      <x/>
    </i>
    <i>
      <x v="1"/>
    </i>
    <i>
      <x v="2"/>
    </i>
    <i t="grand">
      <x/>
    </i>
  </rowItems>
  <colItems count="1">
    <i/>
  </colItems>
  <dataFields count="1">
    <dataField name="Average of Units Sold" fld="8" subtotal="average" baseField="5"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3F57C3-8F65-4546-B808-81B38BCF728E}" name="PivotTable2"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07:C312" firstHeaderRow="0" firstDataRow="1" firstDataCol="1"/>
  <pivotFields count="14">
    <pivotField showAll="0"/>
    <pivotField axis="axisRow" showAll="0">
      <items count="5">
        <item x="2"/>
        <item x="3"/>
        <item x="1"/>
        <item x="0"/>
        <item t="default"/>
      </items>
    </pivotField>
    <pivotField showAll="0"/>
    <pivotField showAll="0"/>
    <pivotField showAll="0"/>
    <pivotField showAll="0"/>
    <pivotField showAll="0"/>
    <pivotField showAll="0"/>
    <pivotField showAll="0"/>
    <pivotField dataField="1" showAll="0">
      <items count="101">
        <item x="51"/>
        <item x="45"/>
        <item x="12"/>
        <item x="36"/>
        <item x="7"/>
        <item x="62"/>
        <item x="81"/>
        <item x="2"/>
        <item x="86"/>
        <item x="59"/>
        <item x="60"/>
        <item x="43"/>
        <item x="97"/>
        <item x="70"/>
        <item x="82"/>
        <item x="99"/>
        <item x="47"/>
        <item x="32"/>
        <item x="23"/>
        <item x="88"/>
        <item x="96"/>
        <item x="68"/>
        <item x="69"/>
        <item x="87"/>
        <item x="10"/>
        <item x="71"/>
        <item x="89"/>
        <item x="94"/>
        <item x="48"/>
        <item x="61"/>
        <item x="35"/>
        <item x="80"/>
        <item x="73"/>
        <item x="37"/>
        <item x="84"/>
        <item x="40"/>
        <item x="6"/>
        <item x="8"/>
        <item x="76"/>
        <item x="77"/>
        <item x="24"/>
        <item x="13"/>
        <item x="63"/>
        <item x="19"/>
        <item x="16"/>
        <item x="92"/>
        <item x="54"/>
        <item x="3"/>
        <item x="67"/>
        <item x="90"/>
        <item x="74"/>
        <item x="46"/>
        <item x="85"/>
        <item x="53"/>
        <item x="27"/>
        <item x="65"/>
        <item x="11"/>
        <item x="95"/>
        <item x="26"/>
        <item x="50"/>
        <item x="21"/>
        <item x="18"/>
        <item x="33"/>
        <item x="25"/>
        <item x="5"/>
        <item x="44"/>
        <item x="66"/>
        <item x="58"/>
        <item x="64"/>
        <item x="14"/>
        <item x="22"/>
        <item x="57"/>
        <item x="31"/>
        <item x="20"/>
        <item x="41"/>
        <item x="39"/>
        <item x="17"/>
        <item x="55"/>
        <item x="0"/>
        <item x="78"/>
        <item x="52"/>
        <item x="93"/>
        <item x="28"/>
        <item x="72"/>
        <item x="49"/>
        <item x="30"/>
        <item x="1"/>
        <item x="56"/>
        <item x="91"/>
        <item x="75"/>
        <item x="83"/>
        <item x="15"/>
        <item x="98"/>
        <item x="79"/>
        <item x="29"/>
        <item x="34"/>
        <item x="38"/>
        <item x="4"/>
        <item x="42"/>
        <item x="9"/>
        <item t="default"/>
      </items>
    </pivotField>
    <pivotField showAll="0"/>
    <pivotField dataField="1" showAll="0">
      <items count="16">
        <item x="6"/>
        <item x="2"/>
        <item x="7"/>
        <item x="3"/>
        <item x="8"/>
        <item x="10"/>
        <item x="12"/>
        <item x="13"/>
        <item x="0"/>
        <item x="5"/>
        <item x="14"/>
        <item x="11"/>
        <item x="1"/>
        <item x="4"/>
        <item x="9"/>
        <item t="default"/>
      </items>
    </pivotField>
    <pivotField showAll="0"/>
    <pivotField showAll="0"/>
  </pivotFields>
  <rowFields count="1">
    <field x="1"/>
  </rowFields>
  <rowItems count="5">
    <i>
      <x/>
    </i>
    <i>
      <x v="1"/>
    </i>
    <i>
      <x v="2"/>
    </i>
    <i>
      <x v="3"/>
    </i>
    <i t="grand">
      <x/>
    </i>
  </rowItems>
  <colFields count="1">
    <field x="-2"/>
  </colFields>
  <colItems count="2">
    <i>
      <x/>
    </i>
    <i i="1">
      <x v="1"/>
    </i>
  </colItems>
  <dataFields count="2">
    <dataField name="Sum of Revenue" fld="11" baseField="0" baseItem="0"/>
    <dataField name="Sum of Profit" fld="9"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AEB0D2-29A8-4CC6-AFD5-7B02F997BD52}"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M12" firstHeaderRow="1" firstDataRow="2" firstDataCol="1"/>
  <pivotFields count="12">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numFmtId="1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axis="axisRow" showAll="0">
      <items count="9">
        <item sd="0" x="5"/>
        <item sd="0" x="3"/>
        <item sd="0" x="6"/>
        <item sd="0" x="4"/>
        <item sd="0" x="0"/>
        <item sd="0" x="7"/>
        <item sd="0" x="1"/>
        <item sd="0" x="2"/>
        <item t="default"/>
      </items>
    </pivotField>
    <pivotField axis="axisRow" showAll="0">
      <items count="6">
        <item x="2"/>
        <item x="1"/>
        <item x="3"/>
        <item x="0"/>
        <item x="4"/>
        <item t="default"/>
      </items>
    </pivotField>
    <pivotField axis="axisRow" showAll="0">
      <items count="7">
        <item x="0"/>
        <item x="1"/>
        <item x="5"/>
        <item x="3"/>
        <item x="4"/>
        <item x="2"/>
        <item t="default"/>
      </items>
    </pivotField>
    <pivotField axis="axisRow" showAll="0">
      <items count="5">
        <item x="0"/>
        <item x="1"/>
        <item x="3"/>
        <item x="2"/>
        <item t="default"/>
      </items>
    </pivotField>
    <pivotField axis="axisRow" showAll="0">
      <items count="5">
        <item x="1"/>
        <item x="0"/>
        <item x="2"/>
        <item x="3"/>
        <item t="default"/>
      </items>
    </pivotField>
    <pivotField axis="axisCol" showAll="0">
      <items count="5">
        <item x="1"/>
        <item x="2"/>
        <item x="0"/>
        <item x="3"/>
        <item t="default"/>
      </items>
    </pivotField>
    <pivotField axis="axisRow" showAll="0">
      <items count="7">
        <item x="2"/>
        <item x="1"/>
        <item x="4"/>
        <item x="0"/>
        <item x="5"/>
        <item x="3"/>
        <item t="default"/>
      </items>
    </pivotField>
    <pivotField dataField="1" showAll="0">
      <items count="7">
        <item x="0"/>
        <item x="5"/>
        <item x="3"/>
        <item x="1"/>
        <item x="2"/>
        <item x="4"/>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x="1"/>
        <item sd="0" x="2"/>
        <item sd="0" x="3"/>
        <item sd="0" x="4"/>
        <item sd="0" x="5"/>
        <item sd="0" x="6"/>
        <item sd="0" x="7"/>
        <item sd="0" x="8"/>
        <item sd="0" x="9"/>
        <item sd="0" x="10"/>
        <item sd="0" x="11"/>
        <item sd="0" x="12"/>
        <item sd="0" x="13"/>
        <item t="default"/>
      </items>
    </pivotField>
  </pivotFields>
  <rowFields count="10">
    <field x="2"/>
    <field x="11"/>
    <field x="10"/>
    <field x="1"/>
    <field x="4"/>
    <field x="0"/>
    <field x="8"/>
    <field x="3"/>
    <field x="6"/>
    <field x="5"/>
  </rowFields>
  <rowItems count="9">
    <i>
      <x/>
    </i>
    <i>
      <x v="1"/>
    </i>
    <i>
      <x v="2"/>
    </i>
    <i>
      <x v="3"/>
    </i>
    <i>
      <x v="4"/>
    </i>
    <i>
      <x v="5"/>
    </i>
    <i>
      <x v="6"/>
    </i>
    <i>
      <x v="7"/>
    </i>
    <i t="grand">
      <x/>
    </i>
  </rowItems>
  <colFields count="1">
    <field x="7"/>
  </colFields>
  <colItems count="5">
    <i>
      <x/>
    </i>
    <i>
      <x v="1"/>
    </i>
    <i>
      <x v="2"/>
    </i>
    <i>
      <x v="3"/>
    </i>
    <i t="grand">
      <x/>
    </i>
  </colItems>
  <dataFields count="1">
    <dataField name="Sum of Casualties" fld="9" baseField="0" baseItem="0"/>
  </dataFields>
  <formats count="42">
    <format dxfId="91">
      <pivotArea type="all" dataOnly="0" outline="0" fieldPosition="0"/>
    </format>
    <format dxfId="90">
      <pivotArea outline="0" collapsedLevelsAreSubtotals="1" fieldPosition="0"/>
    </format>
    <format dxfId="89">
      <pivotArea type="origin" dataOnly="0" labelOnly="1" outline="0" fieldPosition="0"/>
    </format>
    <format dxfId="88">
      <pivotArea field="7" type="button" dataOnly="0" labelOnly="1" outline="0" axis="axisCol" fieldPosition="0"/>
    </format>
    <format dxfId="87">
      <pivotArea type="topRight" dataOnly="0" labelOnly="1" outline="0" fieldPosition="0"/>
    </format>
    <format dxfId="86">
      <pivotArea field="2" type="button" dataOnly="0" labelOnly="1" outline="0" axis="axisRow" fieldPosition="0"/>
    </format>
    <format dxfId="85">
      <pivotArea dataOnly="0" labelOnly="1" fieldPosition="0">
        <references count="1">
          <reference field="2" count="0"/>
        </references>
      </pivotArea>
    </format>
    <format dxfId="84">
      <pivotArea dataOnly="0" labelOnly="1" grandRow="1" outline="0" fieldPosition="0"/>
    </format>
    <format dxfId="83">
      <pivotArea dataOnly="0" labelOnly="1" fieldPosition="0">
        <references count="1">
          <reference field="7" count="0"/>
        </references>
      </pivotArea>
    </format>
    <format dxfId="82">
      <pivotArea dataOnly="0" labelOnly="1" grandCol="1" outline="0" fieldPosition="0"/>
    </format>
    <format dxfId="81">
      <pivotArea type="all" dataOnly="0" outline="0" fieldPosition="0"/>
    </format>
    <format dxfId="80">
      <pivotArea type="all" dataOnly="0" outline="0"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field="7" type="button" dataOnly="0" labelOnly="1" outline="0" axis="axisCol" fieldPosition="0"/>
    </format>
    <format dxfId="75">
      <pivotArea type="topRight" dataOnly="0" labelOnly="1" outline="0"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fieldPosition="0">
        <references count="1">
          <reference field="7" count="0"/>
        </references>
      </pivotArea>
    </format>
    <format dxfId="70">
      <pivotArea dataOnly="0" labelOnly="1" grandCol="1" outline="0" fieldPosition="0"/>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field="7" type="button" dataOnly="0" labelOnly="1" outline="0" axis="axisCol" fieldPosition="0"/>
    </format>
    <format dxfId="65">
      <pivotArea type="topRight" dataOnly="0" labelOnly="1" outline="0" fieldPosition="0"/>
    </format>
    <format dxfId="64">
      <pivotArea field="2" type="button" dataOnly="0" labelOnly="1" outline="0" axis="axisRow" fieldPosition="0"/>
    </format>
    <format dxfId="63">
      <pivotArea dataOnly="0" labelOnly="1" fieldPosition="0">
        <references count="1">
          <reference field="2" count="0"/>
        </references>
      </pivotArea>
    </format>
    <format dxfId="62">
      <pivotArea dataOnly="0" labelOnly="1" grandRow="1" outline="0" fieldPosition="0"/>
    </format>
    <format dxfId="61">
      <pivotArea dataOnly="0" labelOnly="1" fieldPosition="0">
        <references count="1">
          <reference field="7" count="0"/>
        </references>
      </pivotArea>
    </format>
    <format dxfId="60">
      <pivotArea dataOnly="0" labelOnly="1" grandCol="1" outline="0" fieldPosition="0"/>
    </format>
    <format dxfId="59">
      <pivotArea type="all" dataOnly="0" outline="0" fieldPosition="0"/>
    </format>
    <format dxfId="58">
      <pivotArea outline="0" collapsedLevelsAreSubtotals="1" fieldPosition="0"/>
    </format>
    <format dxfId="57">
      <pivotArea type="origin" dataOnly="0" labelOnly="1" outline="0" fieldPosition="0"/>
    </format>
    <format dxfId="56">
      <pivotArea field="7" type="button" dataOnly="0" labelOnly="1" outline="0" axis="axisCol" fieldPosition="0"/>
    </format>
    <format dxfId="55">
      <pivotArea type="topRight" dataOnly="0" labelOnly="1" outline="0" fieldPosition="0"/>
    </format>
    <format dxfId="54">
      <pivotArea field="2" type="button" dataOnly="0" labelOnly="1" outline="0" axis="axisRow" fieldPosition="0"/>
    </format>
    <format dxfId="53">
      <pivotArea dataOnly="0" labelOnly="1" fieldPosition="0">
        <references count="1">
          <reference field="2" count="0"/>
        </references>
      </pivotArea>
    </format>
    <format dxfId="52">
      <pivotArea dataOnly="0" labelOnly="1" grandRow="1" outline="0" fieldPosition="0"/>
    </format>
    <format dxfId="51">
      <pivotArea dataOnly="0" labelOnly="1" fieldPosition="0">
        <references count="1">
          <reference field="7" count="0"/>
        </references>
      </pivotArea>
    </format>
    <format dxfId="50">
      <pivotArea dataOnly="0" labelOnly="1" grandCol="1" outline="0" fieldPosition="0"/>
    </format>
  </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ident_ID" xr10:uid="{49D5FEEC-816B-47BA-81E6-065AA12FCA3B}" sourceName="Accident ID">
  <pivotTables>
    <pivotTable tabId="2" name="PivotTable1"/>
  </pivotTables>
  <data>
    <tabular pivotCacheId="272843901">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39607779-2085-4CAA-8142-9E3C3E1F814E}" sourceName="Date">
  <pivotTables>
    <pivotTable tabId="2" name="PivotTable1"/>
  </pivotTables>
  <data>
    <tabular pivotCacheId="272843901">
      <items count="81">
        <i x="0" s="1"/>
        <i x="32" s="1"/>
        <i x="73" s="1"/>
        <i x="2" s="1"/>
        <i x="10" s="1"/>
        <i x="37" s="1"/>
        <i x="56" s="1"/>
        <i x="9" s="1"/>
        <i x="70" s="1"/>
        <i x="45" s="1"/>
        <i x="78" s="1"/>
        <i x="34" s="1"/>
        <i x="18" s="1"/>
        <i x="69" s="1"/>
        <i x="66" s="1"/>
        <i x="19" s="1"/>
        <i x="64" s="1"/>
        <i x="62" s="1"/>
        <i x="55" s="1"/>
        <i x="6" s="1"/>
        <i x="77" s="1"/>
        <i x="46" s="1"/>
        <i x="21" s="1"/>
        <i x="29" s="1"/>
        <i x="4" s="1"/>
        <i x="59" s="1"/>
        <i x="26" s="1"/>
        <i x="15" s="1"/>
        <i x="52" s="1"/>
        <i x="16" s="1"/>
        <i x="54" s="1"/>
        <i x="36" s="1"/>
        <i x="49" s="1"/>
        <i x="7" s="1"/>
        <i x="39" s="1"/>
        <i x="40" s="1"/>
        <i x="72" s="1"/>
        <i x="48" s="1"/>
        <i x="65" s="1"/>
        <i x="13" s="1"/>
        <i x="1" s="1"/>
        <i x="63" s="1"/>
        <i x="44" s="1"/>
        <i x="12" s="1"/>
        <i x="24" s="1"/>
        <i x="75" s="1"/>
        <i x="79" s="1"/>
        <i x="27" s="1"/>
        <i x="5" s="1"/>
        <i x="42" s="1"/>
        <i x="31" s="1"/>
        <i x="67" s="1"/>
        <i x="35" s="1"/>
        <i x="38" s="1"/>
        <i x="41" s="1"/>
        <i x="25" s="1"/>
        <i x="51" s="1"/>
        <i x="68" s="1"/>
        <i x="8" s="1"/>
        <i x="50" s="1"/>
        <i x="57" s="1"/>
        <i x="14" s="1"/>
        <i x="47" s="1"/>
        <i x="33" s="1"/>
        <i x="61" s="1"/>
        <i x="23" s="1"/>
        <i x="3" s="1"/>
        <i x="22" s="1"/>
        <i x="58" s="1"/>
        <i x="20" s="1"/>
        <i x="28" s="1"/>
        <i x="53" s="1"/>
        <i x="76" s="1"/>
        <i x="71" s="1"/>
        <i x="74" s="1"/>
        <i x="60" s="1"/>
        <i x="80" s="1"/>
        <i x="43" s="1"/>
        <i x="30" s="1"/>
        <i x="11" s="1"/>
        <i x="1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46A1EE1F-E6D7-4CC3-AF52-8AA6A42791F9}" sourceName="Location">
  <pivotTables>
    <pivotTable tabId="2" name="PivotTable1"/>
  </pivotTables>
  <data>
    <tabular pivotCacheId="272843901">
      <items count="8">
        <i x="5" s="1"/>
        <i x="3" s="1"/>
        <i x="6" s="1"/>
        <i x="4" s="1"/>
        <i x="0" s="1"/>
        <i x="7"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ident_Type" xr10:uid="{345C9D0B-2D22-46F2-9F8F-DBAD0D9B6E60}" sourceName="Accident Type">
  <pivotTables>
    <pivotTable tabId="2" name="PivotTable1"/>
  </pivotTables>
  <data>
    <tabular pivotCacheId="272843901">
      <items count="5">
        <i x="2" s="1"/>
        <i x="1" s="1"/>
        <i x="3" s="1"/>
        <i x="0"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 xr10:uid="{5C3FC8C4-710F-4316-987C-2F260E0DE64B}" sourceName="Vehicle Type">
  <pivotTables>
    <pivotTable tabId="2" name="PivotTable1"/>
  </pivotTables>
  <data>
    <tabular pivotCacheId="272843901">
      <items count="6">
        <i x="0" s="1"/>
        <i x="1" s="1"/>
        <i x="5" s="1"/>
        <i x="3" s="1"/>
        <i x="4"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 xr10:uid="{E5AB6C5D-A6F9-4CBD-8EDB-3E0FCC46AC79}" sourceName="Weather Condition">
  <pivotTables>
    <pivotTable tabId="2" name="PivotTable1"/>
  </pivotTables>
  <data>
    <tabular pivotCacheId="272843901">
      <items count="4">
        <i x="0" s="1"/>
        <i x="1" s="1"/>
        <i x="3"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Condition" xr10:uid="{7B7C7A01-954C-4DA7-93E7-9A07FBC2AFF6}" sourceName="Road Condition">
  <pivotTables>
    <pivotTable tabId="2" name="PivotTable1"/>
  </pivotTables>
  <data>
    <tabular pivotCacheId="272843901">
      <items count="4">
        <i x="1" s="1"/>
        <i x="0" s="1"/>
        <i x="2"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48C3F8A8-5A70-49B4-AB42-F88D5D04E4CD}" sourceName="Severity">
  <pivotTables>
    <pivotTable tabId="2" name="PivotTable1"/>
  </pivotTables>
  <data>
    <tabular pivotCacheId="272843901">
      <items count="4">
        <i x="1" s="1"/>
        <i x="2" s="1"/>
        <i x="0"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use" xr10:uid="{AC09515A-D030-4E78-A679-CED524B344B6}" sourceName="Cause">
  <pivotTables>
    <pivotTable tabId="2" name="PivotTable1"/>
  </pivotTables>
  <data>
    <tabular pivotCacheId="272843901">
      <items count="6">
        <i x="2" s="1"/>
        <i x="1" s="1"/>
        <i x="4" s="1"/>
        <i x="0" s="1"/>
        <i x="5"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ualties" xr10:uid="{D9FDA4E3-A1BD-4767-A8EE-F85A495A15A2}" sourceName="Casualties">
  <pivotTables>
    <pivotTable tabId="2" name="PivotTable1"/>
  </pivotTables>
  <data>
    <tabular pivotCacheId="272843901">
      <items count="6">
        <i x="0" s="1"/>
        <i x="5" s="1"/>
        <i x="3"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ident ID" xr10:uid="{1DB80F46-FDAF-4534-8055-EDAEE4975C40}" cache="Slicer_Accident_ID" caption="Accident ID" rowHeight="247650"/>
  <slicer name="Date" xr10:uid="{0DD544CB-6508-43FF-A7BE-7C2EB8A95DDB}" cache="Slicer_Date" caption="Date" rowHeight="247650"/>
  <slicer name="Location" xr10:uid="{55928F0B-E3E1-40F1-BF27-994F805AC7A4}" cache="Slicer_Location" caption="Location" rowHeight="247650"/>
  <slicer name="Accident Type" xr10:uid="{9D07A3C1-0285-4178-BB2B-95E15FFD9D82}" cache="Slicer_Accident_Type" caption="Accident Type" rowHeight="247650"/>
  <slicer name="Vehicle Type" xr10:uid="{95BD4AE2-D7DC-4384-BEBD-8DAE75A5C5D4}" cache="Slicer_Vehicle_Type" caption="Vehicle Type" rowHeight="247650"/>
  <slicer name="Weather Condition" xr10:uid="{C15CDE87-A4EB-44EB-9159-9611A38905C8}" cache="Slicer_Weather_Condition" caption="Weather Condition" rowHeight="247650"/>
  <slicer name="Road Condition" xr10:uid="{850172B3-79E0-4E25-AD63-D349E11CC830}" cache="Slicer_Road_Condition" caption="Road Condition" rowHeight="247650"/>
  <slicer name="Severity" xr10:uid="{317F5A67-D6A2-48FD-BE11-36B771CE552D}" cache="Slicer_Severity" caption="Severity" rowHeight="247650"/>
  <slicer name="Cause" xr10:uid="{DCC50F53-37C7-4A82-B8CF-A2AD13AD5910}" cache="Slicer_Cause" caption="Cause" rowHeight="247650"/>
  <slicer name="Casualties" xr10:uid="{909614A9-A8CE-4845-89D7-570CAC44FD94}" cache="Slicer_Casualties" caption="Casualties"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784124-58B9-472A-ACE5-F84FCF2F5377}" name="Table1" displayName="Table1" ref="A3:C11" totalsRowShown="0" headerRowDxfId="93" dataDxfId="92">
  <autoFilter ref="A3:C11" xr:uid="{87784124-58B9-472A-ACE5-F84FCF2F5377}"/>
  <tableColumns count="3">
    <tableColumn id="1" xr3:uid="{FD805A24-C113-4660-B742-E4B7AEBAA0B8}" name="Employee Name" dataDxfId="96"/>
    <tableColumn id="2" xr3:uid="{2BA25683-2E32-4CF9-A2B7-DA8430B5740D}" name="Joining Date" dataDxfId="95"/>
    <tableColumn id="3" xr3:uid="{2D6FC24F-7434-47C6-B032-D4EA3FD05187}" name="Experience" dataDxfId="94">
      <calculatedColumnFormula>DATEDIF(Table1[[#This Row],[Joining Date]],TODAY(),"Y") &amp; " Years, " &amp; DATEDIF(Table1[[#This Row],[Joining Date]],TODAY(),"YM") &amp; " Months"</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946697-8024-4B98-AFC0-BD0627DBF4A9}" name="Table2" displayName="Table2" ref="A15:J115" totalsRowShown="0" headerRowDxfId="14" dataDxfId="13" headerRowBorderDxfId="11" tableBorderDxfId="12" totalsRowBorderDxfId="10">
  <autoFilter ref="A15:J115" xr:uid="{61946697-8024-4B98-AFC0-BD0627DBF4A9}"/>
  <tableColumns count="10">
    <tableColumn id="1" xr3:uid="{A797A249-9B36-450B-92B8-B4C4F0DCA296}" name="Accident ID" dataDxfId="9"/>
    <tableColumn id="2" xr3:uid="{83FD3938-32A8-4A8B-83ED-1D3D3AE92B79}" name="Date" dataDxfId="8"/>
    <tableColumn id="3" xr3:uid="{9250A8B5-1995-405B-A393-D26B82B7457C}" name="Location" dataDxfId="7"/>
    <tableColumn id="4" xr3:uid="{FE8A82FA-8A03-46C4-B916-518E014E272C}" name="Accident Type" dataDxfId="6"/>
    <tableColumn id="5" xr3:uid="{155B952F-04EE-43E5-9F70-40120D754826}" name="Vehicle Type" dataDxfId="5"/>
    <tableColumn id="6" xr3:uid="{7532C1E6-87ED-4C14-8AF4-D48025476E5C}" name="Weather Condition" dataDxfId="4"/>
    <tableColumn id="7" xr3:uid="{5E95BDDF-D52E-4A0B-9661-ECA3BA233137}" name="Road Condition" dataDxfId="3"/>
    <tableColumn id="8" xr3:uid="{6A5CCD80-3BCE-4033-B01A-070727AB441B}" name="Severity" dataDxfId="2"/>
    <tableColumn id="9" xr3:uid="{A1995D73-212D-4064-BCBE-F64515910373}" name="Cause" dataDxfId="1"/>
    <tableColumn id="10" xr3:uid="{ADBA217C-EA37-4F42-AB53-02EC46DAEC43}" name="Casualties" dataDxfId="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40C5E9-5C99-4021-BADC-37B980FA502D}" name="Table3" displayName="Table3" ref="A119:B129" totalsRowShown="0">
  <autoFilter ref="A119:B129" xr:uid="{3D40C5E9-5C99-4021-BADC-37B980FA502D}"/>
  <tableColumns count="2">
    <tableColumn id="1" xr3:uid="{AA65D746-14D8-43C9-B601-F454B804BDA6}" name="Products"/>
    <tableColumn id="2" xr3:uid="{C3993CB1-00C4-4A15-9A88-F96A081D035A}" name="Stock Level"/>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45034D-33CF-44EA-920A-F4C08B6AC870}" name="Table4" displayName="Table4" ref="A133:L182" totalsRowShown="0" headerRowDxfId="33" dataDxfId="34" headerRowBorderDxfId="48" tableBorderDxfId="49" totalsRowBorderDxfId="47">
  <autoFilter ref="A133:L182" xr:uid="{0045034D-33CF-44EA-920A-F4C08B6AC870}"/>
  <tableColumns count="12">
    <tableColumn id="1" xr3:uid="{33A8657B-2ED9-4452-B7C7-C688F609C24C}" name="Order ID" dataDxfId="46"/>
    <tableColumn id="2" xr3:uid="{54060163-EFDD-4194-8A64-09F481A7995C}" name="Date" dataDxfId="45"/>
    <tableColumn id="3" xr3:uid="{A4CA7346-B8C0-495D-BEF4-810693E1151C}" name="Customer Name" dataDxfId="44"/>
    <tableColumn id="4" xr3:uid="{1944F78B-81E0-4718-8A42-2D27F706079E}" name="Region" dataDxfId="43"/>
    <tableColumn id="5" xr3:uid="{C094F6B1-4842-4C72-808A-2872D2983FCF}" name="Product Category" dataDxfId="42"/>
    <tableColumn id="6" xr3:uid="{4B4042D8-E723-410F-BCC0-A090CEFB9715}" name="Product Name" dataDxfId="41"/>
    <tableColumn id="7" xr3:uid="{634C9D66-E0D6-4F6E-961D-184C130416EC}" name="Quantity" dataDxfId="40"/>
    <tableColumn id="8" xr3:uid="{0427749E-341F-4932-AC19-52E245CB8C51}" name="Unit Price (?)" dataDxfId="39"/>
    <tableColumn id="9" xr3:uid="{A234BE4F-9DE2-4C37-A598-DC48F9B17B71}" name="Total Sales (?)" dataDxfId="38"/>
    <tableColumn id="10" xr3:uid="{95585B09-3C8B-4331-B3C4-D9F25DE19863}" name="Profit Margin (%)" dataDxfId="37"/>
    <tableColumn id="11" xr3:uid="{8F946933-17D5-4284-86D0-A78F476CF794}" name="Customer Age" dataDxfId="36"/>
    <tableColumn id="12" xr3:uid="{D1E322A4-2C40-40E0-8B0E-F3430619FDA8}" name="Payment Mode" dataDxfId="3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31BBBA-2D6B-4C9D-87F2-D1C7C16D5BF3}" name="Table5" displayName="Table5" ref="A205:N305" totalsRowShown="0">
  <autoFilter ref="A205:N305" xr:uid="{3631BBBA-2D6B-4C9D-87F2-D1C7C16D5BF3}"/>
  <tableColumns count="14">
    <tableColumn id="1" xr3:uid="{BA9BBC85-4EF5-40E9-BE31-A080193C8E00}" name="Customer ID"/>
    <tableColumn id="2" xr3:uid="{011808C5-3CDB-4057-8945-B76CA5854548}" name="Region"/>
    <tableColumn id="3" xr3:uid="{641513E0-CFEA-41F4-82FC-1D0F1A5C9677}" name="Country"/>
    <tableColumn id="4" xr3:uid="{68C34E5A-90A8-497E-B913-D51B20870694}" name="State"/>
    <tableColumn id="5" xr3:uid="{17DB4D4C-0B89-490E-AA98-FFAF6FE0BA6B}" name="Phone Number"/>
    <tableColumn id="6" xr3:uid="{402A1088-503D-4792-A2E1-83E7B6D2F855}" name="Category"/>
    <tableColumn id="7" xr3:uid="{83657C66-AA16-4BD3-8445-E4DC71052781}" name="Product"/>
    <tableColumn id="8" xr3:uid="{8C95A0DD-628A-4AAA-BFA5-D3532CFD5A4F}" name="Price"/>
    <tableColumn id="9" xr3:uid="{C7CB1D2A-5E4F-45DD-B5CF-A8B4F07ECDB7}" name="Units Sold"/>
    <tableColumn id="10" xr3:uid="{3B22FC1B-B6E5-40B8-A1C7-DA50BF0B63E9}" name="Profit"/>
    <tableColumn id="11" xr3:uid="{B46C58BC-4599-41D3-B4A5-97C8536861AA}" name="Mode of Payment"/>
    <tableColumn id="12" xr3:uid="{21215437-61CA-42FD-A774-D339DBE7268F}" name="Revenue Generated" dataDxfId="20">
      <calculatedColumnFormula array="1">_xlfn.XLOOKUP(Table5[[#This Row],[Product]],Table5[Product],Table5[Price])*_xlfn.XLOOKUP(Table5[[#This Row],[Product]],Table5[Product],$I$206:$I$305)</calculatedColumnFormula>
    </tableColumn>
    <tableColumn id="13" xr3:uid="{FB72FAEF-A031-4D12-9F2F-7C636CA9277C}" name="Revenue Label" dataDxfId="17">
      <calculatedColumnFormula>IF(L206&gt;=15000,"High",IF(L206&gt;=5000,"Medium","Low"))</calculatedColumnFormula>
    </tableColumn>
    <tableColumn id="14" xr3:uid="{6B36F927-AB2F-44FA-88D0-8B2AD6306952}" name="Profit %">
      <calculatedColumnFormula>ROUND((Table5[[#This Row],[Profit]]/Table5[[#This Row],[Revenue Generated]])*100,2)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3" dT="2026-01-01T10:05:43.90" personId="{4E6DEE59-40F3-4094-8A08-8230347B24BC}" id="{1328E9C6-3162-47BE-9D22-50690C8735A8}">
    <text>Formula used here is: =DATEDIF([@[Joining Date]],TODAY(),"Y") &amp; " Years, " &amp; DATEDIF([@[Joining Date]],TODAY(),"YM") &amp; " Months"</text>
  </threadedComment>
  <threadedComment ref="B119" dT="2026-01-01T10:01:20.99" personId="{4E6DEE59-40F3-4094-8A08-8230347B24BC}" id="{4140710B-99D7-4A8D-98D2-5E202E3A82CB}">
    <text>Macro used here is: Sub FontColor()
Dim cell As Range
For Each cell In Range("b120:b129")
    If cell.Value &lt; 10 Then
        cell.Font.Color = RGB(255, 0, 0) 'Red Color
    ElseIf cell.Value &gt; 50 Then
        cell.Font.Color = RGB(0, 128, 0) 'Green color
    End If
Next cell
End Sub</text>
  </threadedComment>
  <threadedComment ref="B184" dT="2026-01-01T09:52:12.28" personId="{4E6DEE59-40F3-4094-8A08-8230347B24BC}" id="{D83A1EB1-3009-46F7-9A95-8B905692E6D7}">
    <text>Data Validation is applied with a list drop down where any product can be selected from the drop down.</text>
  </threadedComment>
  <threadedComment ref="C184" dT="2026-01-01T09:50:29.82" personId="{4E6DEE59-40F3-4094-8A08-8230347B24BC}" id="{1A1F8662-E8D4-46ED-A327-8EDB23A57A2F}">
    <text>Formula used here: =XLOOKUP(B185,Table4[Product Name],Table4[Quantity]) * XLOOKUP(B185,Table4[Product Name],Table4[Unit Price (?)])</text>
  </threadedComment>
  <threadedComment ref="E205" dT="2026-01-01T09:54:58.66" personId="{4E6DEE59-40F3-4094-8A08-8230347B24BC}" id="{CEFC73B1-9E91-4E64-BC32-229A6093B4AD}">
    <text xml:space="preserve">Highlight any phone number that is not exactly 10 digits </text>
  </threadedComment>
  <threadedComment ref="I205" dT="2026-01-01T09:53:49.57" personId="{4E6DEE59-40F3-4094-8A08-8230347B24BC}" id="{53CDF178-71BD-483E-A72C-29453C5115B2}">
    <text xml:space="preserve">Data validation in the Units Sold column to ensure only values between 1 and 20 are allowed </text>
  </threadedComment>
  <threadedComment ref="J205" dT="2026-01-01T09:54:32.94" personId="{4E6DEE59-40F3-4094-8A08-8230347B24BC}" id="{14856B78-F677-477E-92A9-74E6D3F8A965}">
    <text xml:space="preserve">Highlight rows where Profit &gt; ₹5000 </text>
  </threadedComment>
  <threadedComment ref="L205" dT="2026-01-01T09:55:52.50" personId="{4E6DEE59-40F3-4094-8A08-8230347B24BC}" id="{40848621-FAA4-4AEA-A92A-C213B3EF13D4}">
    <text>Formula used here to calculate the revenue is: =XLOOKUP([@Product],[Product],[Price])*XLOOKUP([@Product],[Product],$I$206:$I$305)</text>
  </threadedComment>
  <threadedComment ref="M205" dT="2026-01-01T09:57:33.40" personId="{4E6DEE59-40F3-4094-8A08-8230347B24BC}" id="{96F592C0-9AA7-4495-8A91-0BF4E3785C73}">
    <text>Formula used here to separate the category: =IF(L206&gt;=15000,"High",IF(L206&gt;=5000,"Medium","Low"))</text>
  </threadedComment>
  <threadedComment ref="N205" dT="2026-01-01T09:58:08.08" personId="{4E6DEE59-40F3-4094-8A08-8230347B24BC}" id="{D7FC5189-323F-4EFE-92AC-34668B009427}">
    <text>For 2 decimal places: =ROUND(([@Profit]/[@[Revenue Generated]])*100,2)</tex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10" Type="http://schemas.microsoft.com/office/2017/10/relationships/threadedComment" Target="../threadedComments/threadedComment1.xml"/><Relationship Id="rId4" Type="http://schemas.openxmlformats.org/officeDocument/2006/relationships/table" Target="../tables/table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B9338-8B18-4F5A-BA3D-E1EDFF96ACEF}">
  <sheetPr codeName="Sheet1"/>
  <dimension ref="A1:R318"/>
  <sheetViews>
    <sheetView tabSelected="1" workbookViewId="0">
      <selection activeCell="G4" sqref="G4"/>
    </sheetView>
  </sheetViews>
  <sheetFormatPr defaultRowHeight="14.4" x14ac:dyDescent="0.3"/>
  <cols>
    <col min="1" max="1" width="34" customWidth="1"/>
    <col min="2" max="2" width="18.44140625" bestFit="1" customWidth="1"/>
    <col min="3" max="3" width="22.21875" bestFit="1" customWidth="1"/>
    <col min="4" max="4" width="8.88671875" bestFit="1" customWidth="1"/>
    <col min="5" max="5" width="17.5546875" customWidth="1"/>
    <col min="6" max="6" width="15" customWidth="1"/>
    <col min="7" max="7" width="16.88671875" bestFit="1" customWidth="1"/>
    <col min="8" max="8" width="13.6640625" customWidth="1"/>
    <col min="9" max="9" width="14.44140625" customWidth="1"/>
    <col min="10" max="10" width="17.21875" customWidth="1"/>
    <col min="11" max="11" width="18.109375" customWidth="1"/>
    <col min="12" max="12" width="20" bestFit="1" customWidth="1"/>
    <col min="13" max="13" width="15.109375" customWidth="1"/>
    <col min="14" max="14" width="9.44140625" customWidth="1"/>
    <col min="15" max="15" width="10.109375" bestFit="1" customWidth="1"/>
    <col min="16" max="16" width="12.44140625" bestFit="1" customWidth="1"/>
    <col min="17" max="17" width="14.109375" bestFit="1" customWidth="1"/>
    <col min="18" max="18" width="11.5546875" bestFit="1" customWidth="1"/>
    <col min="19" max="23" width="7" bestFit="1" customWidth="1"/>
    <col min="24" max="24" width="6" bestFit="1" customWidth="1"/>
    <col min="25" max="53" width="7" bestFit="1" customWidth="1"/>
    <col min="54" max="65" width="8" bestFit="1" customWidth="1"/>
    <col min="66" max="66" width="7" bestFit="1" customWidth="1"/>
    <col min="67" max="69" width="8" bestFit="1" customWidth="1"/>
    <col min="70" max="70" width="7" bestFit="1" customWidth="1"/>
    <col min="71" max="90" width="8" bestFit="1" customWidth="1"/>
    <col min="91" max="91" width="7" bestFit="1" customWidth="1"/>
    <col min="92" max="92" width="8" bestFit="1" customWidth="1"/>
    <col min="93" max="93" width="7" bestFit="1" customWidth="1"/>
    <col min="94" max="115" width="8" bestFit="1" customWidth="1"/>
    <col min="116" max="116" width="9" bestFit="1" customWidth="1"/>
    <col min="117" max="117" width="10.5546875" bestFit="1" customWidth="1"/>
    <col min="118" max="124" width="8" bestFit="1" customWidth="1"/>
    <col min="125" max="125" width="13.109375" bestFit="1" customWidth="1"/>
    <col min="126" max="126" width="7.6640625" bestFit="1" customWidth="1"/>
    <col min="127" max="127" width="7" bestFit="1" customWidth="1"/>
    <col min="128" max="130" width="8" bestFit="1" customWidth="1"/>
    <col min="131" max="131" width="10.44140625" bestFit="1" customWidth="1"/>
    <col min="132" max="132" width="10.5546875" bestFit="1" customWidth="1"/>
  </cols>
  <sheetData>
    <row r="1" spans="1:11" x14ac:dyDescent="0.3">
      <c r="A1" t="s">
        <v>11</v>
      </c>
    </row>
    <row r="2" spans="1:11" x14ac:dyDescent="0.3">
      <c r="A2" s="3" t="s">
        <v>12</v>
      </c>
    </row>
    <row r="3" spans="1:11" ht="18" x14ac:dyDescent="0.35">
      <c r="A3" s="1" t="s">
        <v>0</v>
      </c>
      <c r="B3" s="1" t="s">
        <v>1</v>
      </c>
      <c r="C3" s="1" t="s">
        <v>2</v>
      </c>
    </row>
    <row r="4" spans="1:11" ht="18" x14ac:dyDescent="0.35">
      <c r="A4" s="1" t="s">
        <v>3</v>
      </c>
      <c r="B4" s="2">
        <v>40179</v>
      </c>
      <c r="C4" s="1" t="str">
        <f ca="1">DATEDIF(Table1[[#This Row],[Joining Date]],TODAY(),"Y") &amp; " Years, " &amp; DATEDIF(Table1[[#This Row],[Joining Date]],TODAY(),"YM") &amp; " Months"</f>
        <v>16 Years, 0 Months</v>
      </c>
    </row>
    <row r="5" spans="1:11" ht="18" x14ac:dyDescent="0.35">
      <c r="A5" s="1" t="s">
        <v>4</v>
      </c>
      <c r="B5" s="2">
        <v>41044</v>
      </c>
      <c r="C5" s="1" t="str">
        <f ca="1">DATEDIF(Table1[[#This Row],[Joining Date]],TODAY(),"Y") &amp; " Years, " &amp; DATEDIF(Table1[[#This Row],[Joining Date]],TODAY(),"YM") &amp; " Months"</f>
        <v>13 Years, 7 Months</v>
      </c>
    </row>
    <row r="6" spans="1:11" ht="18" x14ac:dyDescent="0.35">
      <c r="A6" s="1" t="s">
        <v>5</v>
      </c>
      <c r="B6" s="2">
        <v>42073</v>
      </c>
      <c r="C6" s="1" t="str">
        <f ca="1">DATEDIF(Table1[[#This Row],[Joining Date]],TODAY(),"Y") &amp; " Years, " &amp; DATEDIF(Table1[[#This Row],[Joining Date]],TODAY(),"YM") &amp; " Months"</f>
        <v>10 Years, 9 Months</v>
      </c>
    </row>
    <row r="7" spans="1:11" ht="18" x14ac:dyDescent="0.35">
      <c r="A7" s="1" t="s">
        <v>6</v>
      </c>
      <c r="B7" s="2">
        <v>43000</v>
      </c>
      <c r="C7" s="1" t="str">
        <f ca="1">DATEDIF(Table1[[#This Row],[Joining Date]],TODAY(),"Y") &amp; " Years, " &amp; DATEDIF(Table1[[#This Row],[Joining Date]],TODAY(),"YM") &amp; " Months"</f>
        <v>8 Years, 3 Months</v>
      </c>
    </row>
    <row r="8" spans="1:11" ht="18" x14ac:dyDescent="0.35">
      <c r="A8" s="1" t="s">
        <v>7</v>
      </c>
      <c r="B8" s="2">
        <v>43774</v>
      </c>
      <c r="C8" s="1" t="str">
        <f ca="1">DATEDIF(Table1[[#This Row],[Joining Date]],TODAY(),"Y") &amp; " Years, " &amp; DATEDIF(Table1[[#This Row],[Joining Date]],TODAY(),"YM") &amp; " Months"</f>
        <v>6 Years, 1 Months</v>
      </c>
    </row>
    <row r="9" spans="1:11" ht="18" x14ac:dyDescent="0.35">
      <c r="A9" s="1" t="s">
        <v>8</v>
      </c>
      <c r="B9" s="2">
        <v>44316</v>
      </c>
      <c r="C9" s="1" t="str">
        <f ca="1">DATEDIF(Table1[[#This Row],[Joining Date]],TODAY(),"Y") &amp; " Years, " &amp; DATEDIF(Table1[[#This Row],[Joining Date]],TODAY(),"YM") &amp; " Months"</f>
        <v>4 Years, 8 Months</v>
      </c>
    </row>
    <row r="10" spans="1:11" ht="18" x14ac:dyDescent="0.35">
      <c r="A10" s="1" t="s">
        <v>9</v>
      </c>
      <c r="B10" s="2">
        <v>45152</v>
      </c>
      <c r="C10" s="1" t="str">
        <f ca="1">DATEDIF(Table1[[#This Row],[Joining Date]],TODAY(),"Y") &amp; " Years, " &amp; DATEDIF(Table1[[#This Row],[Joining Date]],TODAY(),"YM") &amp; " Months"</f>
        <v>2 Years, 4 Months</v>
      </c>
    </row>
    <row r="11" spans="1:11" ht="18" x14ac:dyDescent="0.35">
      <c r="A11" s="1" t="s">
        <v>10</v>
      </c>
      <c r="B11" s="2">
        <v>45992</v>
      </c>
      <c r="C11" s="1" t="str">
        <f ca="1">DATEDIF(Table1[[#This Row],[Joining Date]],TODAY(),"Y") &amp; " Years, " &amp; DATEDIF(Table1[[#This Row],[Joining Date]],TODAY(),"YM") &amp; " Months"</f>
        <v>0 Years, 1 Months</v>
      </c>
    </row>
    <row r="13" spans="1:11" x14ac:dyDescent="0.3">
      <c r="A13" s="3" t="s">
        <v>13</v>
      </c>
    </row>
    <row r="14" spans="1:11" x14ac:dyDescent="0.3">
      <c r="A14" s="3" t="s">
        <v>14</v>
      </c>
    </row>
    <row r="15" spans="1:11" ht="27.6" thickBot="1" x14ac:dyDescent="0.35">
      <c r="A15" s="8" t="s">
        <v>15</v>
      </c>
      <c r="B15" s="9" t="s">
        <v>16</v>
      </c>
      <c r="C15" s="9" t="s">
        <v>17</v>
      </c>
      <c r="D15" s="9" t="s">
        <v>18</v>
      </c>
      <c r="E15" s="9" t="s">
        <v>19</v>
      </c>
      <c r="F15" s="9" t="s">
        <v>20</v>
      </c>
      <c r="G15" s="9" t="s">
        <v>21</v>
      </c>
      <c r="H15" s="9" t="s">
        <v>22</v>
      </c>
      <c r="I15" s="9" t="s">
        <v>23</v>
      </c>
      <c r="J15" s="10" t="s">
        <v>24</v>
      </c>
    </row>
    <row r="16" spans="1:11" ht="54" thickBot="1" x14ac:dyDescent="0.35">
      <c r="A16" s="6" t="s">
        <v>25</v>
      </c>
      <c r="B16" s="5">
        <v>45292</v>
      </c>
      <c r="C16" s="4" t="s">
        <v>26</v>
      </c>
      <c r="D16" s="4" t="s">
        <v>27</v>
      </c>
      <c r="E16" s="4" t="s">
        <v>28</v>
      </c>
      <c r="F16" s="4" t="s">
        <v>29</v>
      </c>
      <c r="G16" s="4" t="s">
        <v>30</v>
      </c>
      <c r="H16" s="4" t="s">
        <v>31</v>
      </c>
      <c r="I16" s="4" t="s">
        <v>32</v>
      </c>
      <c r="J16" s="7">
        <v>0</v>
      </c>
      <c r="K16" s="40" t="s">
        <v>446</v>
      </c>
    </row>
    <row r="17" spans="1:10" ht="27.6" thickBot="1" x14ac:dyDescent="0.35">
      <c r="A17" s="6" t="s">
        <v>33</v>
      </c>
      <c r="B17" s="5">
        <v>45380</v>
      </c>
      <c r="C17" s="4" t="s">
        <v>34</v>
      </c>
      <c r="D17" s="4" t="s">
        <v>27</v>
      </c>
      <c r="E17" s="4" t="s">
        <v>28</v>
      </c>
      <c r="F17" s="4" t="s">
        <v>35</v>
      </c>
      <c r="G17" s="4" t="s">
        <v>36</v>
      </c>
      <c r="H17" s="4" t="s">
        <v>31</v>
      </c>
      <c r="I17" s="4" t="s">
        <v>37</v>
      </c>
      <c r="J17" s="7">
        <v>0</v>
      </c>
    </row>
    <row r="18" spans="1:10" ht="15" thickBot="1" x14ac:dyDescent="0.35">
      <c r="A18" s="6" t="s">
        <v>38</v>
      </c>
      <c r="B18" s="5">
        <v>45296</v>
      </c>
      <c r="C18" s="4" t="s">
        <v>34</v>
      </c>
      <c r="D18" s="4" t="s">
        <v>27</v>
      </c>
      <c r="E18" s="4" t="s">
        <v>39</v>
      </c>
      <c r="F18" s="4" t="s">
        <v>40</v>
      </c>
      <c r="G18" s="4" t="s">
        <v>41</v>
      </c>
      <c r="H18" s="4" t="s">
        <v>42</v>
      </c>
      <c r="I18" s="4" t="s">
        <v>32</v>
      </c>
      <c r="J18" s="7">
        <v>3</v>
      </c>
    </row>
    <row r="19" spans="1:10" ht="15" thickBot="1" x14ac:dyDescent="0.35">
      <c r="A19" s="6" t="s">
        <v>43</v>
      </c>
      <c r="B19" s="5">
        <v>45445</v>
      </c>
      <c r="C19" s="4" t="s">
        <v>44</v>
      </c>
      <c r="D19" s="4" t="s">
        <v>45</v>
      </c>
      <c r="E19" s="4" t="s">
        <v>46</v>
      </c>
      <c r="F19" s="4" t="s">
        <v>29</v>
      </c>
      <c r="G19" s="4" t="s">
        <v>30</v>
      </c>
      <c r="H19" s="4" t="s">
        <v>42</v>
      </c>
      <c r="I19" s="4" t="s">
        <v>47</v>
      </c>
      <c r="J19" s="7">
        <v>4</v>
      </c>
    </row>
    <row r="20" spans="1:10" ht="27.6" thickBot="1" x14ac:dyDescent="0.35">
      <c r="A20" s="6" t="s">
        <v>48</v>
      </c>
      <c r="B20" s="5">
        <v>45350</v>
      </c>
      <c r="C20" s="4" t="s">
        <v>49</v>
      </c>
      <c r="D20" s="4" t="s">
        <v>50</v>
      </c>
      <c r="E20" s="4" t="s">
        <v>28</v>
      </c>
      <c r="F20" s="4" t="s">
        <v>29</v>
      </c>
      <c r="G20" s="4" t="s">
        <v>36</v>
      </c>
      <c r="H20" s="4" t="s">
        <v>31</v>
      </c>
      <c r="I20" s="4" t="s">
        <v>51</v>
      </c>
      <c r="J20" s="7">
        <v>0</v>
      </c>
    </row>
    <row r="21" spans="1:10" ht="27.6" thickBot="1" x14ac:dyDescent="0.35">
      <c r="A21" s="6" t="s">
        <v>52</v>
      </c>
      <c r="B21" s="5">
        <v>45399</v>
      </c>
      <c r="C21" s="4" t="s">
        <v>49</v>
      </c>
      <c r="D21" s="4" t="s">
        <v>50</v>
      </c>
      <c r="E21" s="4" t="s">
        <v>53</v>
      </c>
      <c r="F21" s="4" t="s">
        <v>54</v>
      </c>
      <c r="G21" s="4" t="s">
        <v>36</v>
      </c>
      <c r="H21" s="4" t="s">
        <v>55</v>
      </c>
      <c r="I21" s="4" t="s">
        <v>56</v>
      </c>
      <c r="J21" s="7">
        <v>4</v>
      </c>
    </row>
    <row r="22" spans="1:10" ht="27.6" thickBot="1" x14ac:dyDescent="0.35">
      <c r="A22" s="6" t="s">
        <v>57</v>
      </c>
      <c r="B22" s="5">
        <v>45338</v>
      </c>
      <c r="C22" s="4" t="s">
        <v>58</v>
      </c>
      <c r="D22" s="4" t="s">
        <v>50</v>
      </c>
      <c r="E22" s="4" t="s">
        <v>53</v>
      </c>
      <c r="F22" s="4" t="s">
        <v>54</v>
      </c>
      <c r="G22" s="4" t="s">
        <v>30</v>
      </c>
      <c r="H22" s="4" t="s">
        <v>55</v>
      </c>
      <c r="I22" s="4" t="s">
        <v>59</v>
      </c>
      <c r="J22" s="7">
        <v>2</v>
      </c>
    </row>
    <row r="23" spans="1:10" ht="15" thickBot="1" x14ac:dyDescent="0.35">
      <c r="A23" s="6" t="s">
        <v>60</v>
      </c>
      <c r="B23" s="5">
        <v>45369</v>
      </c>
      <c r="C23" s="4" t="s">
        <v>26</v>
      </c>
      <c r="D23" s="4" t="s">
        <v>27</v>
      </c>
      <c r="E23" s="4" t="s">
        <v>53</v>
      </c>
      <c r="F23" s="4" t="s">
        <v>35</v>
      </c>
      <c r="G23" s="4" t="s">
        <v>61</v>
      </c>
      <c r="H23" s="4" t="s">
        <v>31</v>
      </c>
      <c r="I23" s="4" t="s">
        <v>59</v>
      </c>
      <c r="J23" s="7">
        <v>5</v>
      </c>
    </row>
    <row r="24" spans="1:10" ht="15" thickBot="1" x14ac:dyDescent="0.35">
      <c r="A24" s="6" t="s">
        <v>62</v>
      </c>
      <c r="B24" s="5">
        <v>45425</v>
      </c>
      <c r="C24" s="4" t="s">
        <v>34</v>
      </c>
      <c r="D24" s="4" t="s">
        <v>45</v>
      </c>
      <c r="E24" s="4" t="s">
        <v>53</v>
      </c>
      <c r="F24" s="4" t="s">
        <v>40</v>
      </c>
      <c r="G24" s="4" t="s">
        <v>41</v>
      </c>
      <c r="H24" s="4" t="s">
        <v>55</v>
      </c>
      <c r="I24" s="4" t="s">
        <v>51</v>
      </c>
      <c r="J24" s="7">
        <v>2</v>
      </c>
    </row>
    <row r="25" spans="1:10" ht="15" thickBot="1" x14ac:dyDescent="0.35">
      <c r="A25" s="6" t="s">
        <v>63</v>
      </c>
      <c r="B25" s="5">
        <v>45307</v>
      </c>
      <c r="C25" s="4" t="s">
        <v>64</v>
      </c>
      <c r="D25" s="4" t="s">
        <v>45</v>
      </c>
      <c r="E25" s="4" t="s">
        <v>65</v>
      </c>
      <c r="F25" s="4" t="s">
        <v>29</v>
      </c>
      <c r="G25" s="4" t="s">
        <v>41</v>
      </c>
      <c r="H25" s="4" t="s">
        <v>66</v>
      </c>
      <c r="I25" s="4" t="s">
        <v>59</v>
      </c>
      <c r="J25" s="7">
        <v>5</v>
      </c>
    </row>
    <row r="26" spans="1:10" ht="15" thickBot="1" x14ac:dyDescent="0.35">
      <c r="A26" s="6" t="s">
        <v>67</v>
      </c>
      <c r="B26" s="5">
        <v>45299</v>
      </c>
      <c r="C26" s="4" t="s">
        <v>44</v>
      </c>
      <c r="D26" s="4" t="s">
        <v>68</v>
      </c>
      <c r="E26" s="4" t="s">
        <v>28</v>
      </c>
      <c r="F26" s="4" t="s">
        <v>29</v>
      </c>
      <c r="G26" s="4" t="s">
        <v>36</v>
      </c>
      <c r="H26" s="4" t="s">
        <v>42</v>
      </c>
      <c r="I26" s="4" t="s">
        <v>32</v>
      </c>
      <c r="J26" s="7">
        <v>0</v>
      </c>
    </row>
    <row r="27" spans="1:10" ht="27.6" thickBot="1" x14ac:dyDescent="0.35">
      <c r="A27" s="6" t="s">
        <v>69</v>
      </c>
      <c r="B27" s="5">
        <v>45468</v>
      </c>
      <c r="C27" s="4" t="s">
        <v>64</v>
      </c>
      <c r="D27" s="4" t="s">
        <v>70</v>
      </c>
      <c r="E27" s="4" t="s">
        <v>53</v>
      </c>
      <c r="F27" s="4" t="s">
        <v>29</v>
      </c>
      <c r="G27" s="4" t="s">
        <v>41</v>
      </c>
      <c r="H27" s="4" t="s">
        <v>66</v>
      </c>
      <c r="I27" s="4" t="s">
        <v>32</v>
      </c>
      <c r="J27" s="7">
        <v>3</v>
      </c>
    </row>
    <row r="28" spans="1:10" ht="27.6" thickBot="1" x14ac:dyDescent="0.35">
      <c r="A28" s="6" t="s">
        <v>71</v>
      </c>
      <c r="B28" s="5">
        <v>45380</v>
      </c>
      <c r="C28" s="4" t="s">
        <v>49</v>
      </c>
      <c r="D28" s="4" t="s">
        <v>70</v>
      </c>
      <c r="E28" s="4" t="s">
        <v>39</v>
      </c>
      <c r="F28" s="4" t="s">
        <v>54</v>
      </c>
      <c r="G28" s="4" t="s">
        <v>61</v>
      </c>
      <c r="H28" s="4" t="s">
        <v>66</v>
      </c>
      <c r="I28" s="4" t="s">
        <v>59</v>
      </c>
      <c r="J28" s="7">
        <v>1</v>
      </c>
    </row>
    <row r="29" spans="1:10" ht="15" thickBot="1" x14ac:dyDescent="0.35">
      <c r="A29" s="6" t="s">
        <v>72</v>
      </c>
      <c r="B29" s="5">
        <v>45384</v>
      </c>
      <c r="C29" s="4" t="s">
        <v>73</v>
      </c>
      <c r="D29" s="4" t="s">
        <v>27</v>
      </c>
      <c r="E29" s="4" t="s">
        <v>74</v>
      </c>
      <c r="F29" s="4" t="s">
        <v>35</v>
      </c>
      <c r="G29" s="4" t="s">
        <v>30</v>
      </c>
      <c r="H29" s="4" t="s">
        <v>66</v>
      </c>
      <c r="I29" s="4" t="s">
        <v>56</v>
      </c>
      <c r="J29" s="7">
        <v>2</v>
      </c>
    </row>
    <row r="30" spans="1:10" ht="27.6" thickBot="1" x14ac:dyDescent="0.35">
      <c r="A30" s="6" t="s">
        <v>75</v>
      </c>
      <c r="B30" s="5">
        <v>45378</v>
      </c>
      <c r="C30" s="4" t="s">
        <v>73</v>
      </c>
      <c r="D30" s="4" t="s">
        <v>70</v>
      </c>
      <c r="E30" s="4" t="s">
        <v>65</v>
      </c>
      <c r="F30" s="4" t="s">
        <v>35</v>
      </c>
      <c r="G30" s="4" t="s">
        <v>41</v>
      </c>
      <c r="H30" s="4" t="s">
        <v>31</v>
      </c>
      <c r="I30" s="4" t="s">
        <v>47</v>
      </c>
      <c r="J30" s="7">
        <v>1</v>
      </c>
    </row>
    <row r="31" spans="1:10" ht="27.6" thickBot="1" x14ac:dyDescent="0.35">
      <c r="A31" s="6" t="s">
        <v>76</v>
      </c>
      <c r="B31" s="5">
        <v>45431</v>
      </c>
      <c r="C31" s="4" t="s">
        <v>73</v>
      </c>
      <c r="D31" s="4" t="s">
        <v>27</v>
      </c>
      <c r="E31" s="4" t="s">
        <v>46</v>
      </c>
      <c r="F31" s="4" t="s">
        <v>35</v>
      </c>
      <c r="G31" s="4" t="s">
        <v>36</v>
      </c>
      <c r="H31" s="4" t="s">
        <v>66</v>
      </c>
      <c r="I31" s="4" t="s">
        <v>37</v>
      </c>
      <c r="J31" s="7">
        <v>5</v>
      </c>
    </row>
    <row r="32" spans="1:10" ht="27.6" thickBot="1" x14ac:dyDescent="0.35">
      <c r="A32" s="6" t="s">
        <v>77</v>
      </c>
      <c r="B32" s="5">
        <v>45354</v>
      </c>
      <c r="C32" s="4" t="s">
        <v>26</v>
      </c>
      <c r="D32" s="4" t="s">
        <v>45</v>
      </c>
      <c r="E32" s="4" t="s">
        <v>65</v>
      </c>
      <c r="F32" s="4" t="s">
        <v>40</v>
      </c>
      <c r="G32" s="4" t="s">
        <v>41</v>
      </c>
      <c r="H32" s="4" t="s">
        <v>31</v>
      </c>
      <c r="I32" s="4" t="s">
        <v>37</v>
      </c>
      <c r="J32" s="7">
        <v>4</v>
      </c>
    </row>
    <row r="33" spans="1:10" ht="15" thickBot="1" x14ac:dyDescent="0.35">
      <c r="A33" s="6" t="s">
        <v>78</v>
      </c>
      <c r="B33" s="5">
        <v>45359</v>
      </c>
      <c r="C33" s="4" t="s">
        <v>79</v>
      </c>
      <c r="D33" s="4" t="s">
        <v>27</v>
      </c>
      <c r="E33" s="4" t="s">
        <v>53</v>
      </c>
      <c r="F33" s="4" t="s">
        <v>40</v>
      </c>
      <c r="G33" s="4" t="s">
        <v>41</v>
      </c>
      <c r="H33" s="4" t="s">
        <v>31</v>
      </c>
      <c r="I33" s="4" t="s">
        <v>47</v>
      </c>
      <c r="J33" s="7">
        <v>3</v>
      </c>
    </row>
    <row r="34" spans="1:10" ht="15" thickBot="1" x14ac:dyDescent="0.35">
      <c r="A34" s="6" t="s">
        <v>80</v>
      </c>
      <c r="B34" s="5">
        <v>45469</v>
      </c>
      <c r="C34" s="4" t="s">
        <v>58</v>
      </c>
      <c r="D34" s="4" t="s">
        <v>27</v>
      </c>
      <c r="E34" s="4" t="s">
        <v>65</v>
      </c>
      <c r="F34" s="4" t="s">
        <v>54</v>
      </c>
      <c r="G34" s="4" t="s">
        <v>61</v>
      </c>
      <c r="H34" s="4" t="s">
        <v>66</v>
      </c>
      <c r="I34" s="4" t="s">
        <v>56</v>
      </c>
      <c r="J34" s="7">
        <v>4</v>
      </c>
    </row>
    <row r="35" spans="1:10" ht="15" thickBot="1" x14ac:dyDescent="0.35">
      <c r="A35" s="6" t="s">
        <v>81</v>
      </c>
      <c r="B35" s="5">
        <v>45317</v>
      </c>
      <c r="C35" s="4" t="s">
        <v>58</v>
      </c>
      <c r="D35" s="4" t="s">
        <v>45</v>
      </c>
      <c r="E35" s="4" t="s">
        <v>39</v>
      </c>
      <c r="F35" s="4" t="s">
        <v>54</v>
      </c>
      <c r="G35" s="4" t="s">
        <v>36</v>
      </c>
      <c r="H35" s="4" t="s">
        <v>31</v>
      </c>
      <c r="I35" s="4" t="s">
        <v>47</v>
      </c>
      <c r="J35" s="7">
        <v>5</v>
      </c>
    </row>
    <row r="36" spans="1:10" ht="27.6" thickBot="1" x14ac:dyDescent="0.35">
      <c r="A36" s="6" t="s">
        <v>82</v>
      </c>
      <c r="B36" s="5">
        <v>45327</v>
      </c>
      <c r="C36" s="4" t="s">
        <v>44</v>
      </c>
      <c r="D36" s="4" t="s">
        <v>50</v>
      </c>
      <c r="E36" s="4" t="s">
        <v>65</v>
      </c>
      <c r="F36" s="4" t="s">
        <v>40</v>
      </c>
      <c r="G36" s="4" t="s">
        <v>36</v>
      </c>
      <c r="H36" s="4" t="s">
        <v>55</v>
      </c>
      <c r="I36" s="4" t="s">
        <v>37</v>
      </c>
      <c r="J36" s="7">
        <v>5</v>
      </c>
    </row>
    <row r="37" spans="1:10" ht="15" thickBot="1" x14ac:dyDescent="0.35">
      <c r="A37" s="6" t="s">
        <v>83</v>
      </c>
      <c r="B37" s="5">
        <v>45450</v>
      </c>
      <c r="C37" s="4" t="s">
        <v>26</v>
      </c>
      <c r="D37" s="4" t="s">
        <v>68</v>
      </c>
      <c r="E37" s="4" t="s">
        <v>46</v>
      </c>
      <c r="F37" s="4" t="s">
        <v>35</v>
      </c>
      <c r="G37" s="4" t="s">
        <v>41</v>
      </c>
      <c r="H37" s="4" t="s">
        <v>42</v>
      </c>
      <c r="I37" s="4" t="s">
        <v>51</v>
      </c>
      <c r="J37" s="7">
        <v>4</v>
      </c>
    </row>
    <row r="38" spans="1:10" ht="15" thickBot="1" x14ac:dyDescent="0.35">
      <c r="A38" s="6" t="s">
        <v>84</v>
      </c>
      <c r="B38" s="5">
        <v>45378</v>
      </c>
      <c r="C38" s="4" t="s">
        <v>73</v>
      </c>
      <c r="D38" s="4" t="s">
        <v>45</v>
      </c>
      <c r="E38" s="4" t="s">
        <v>39</v>
      </c>
      <c r="F38" s="4" t="s">
        <v>54</v>
      </c>
      <c r="G38" s="4" t="s">
        <v>41</v>
      </c>
      <c r="H38" s="4" t="s">
        <v>66</v>
      </c>
      <c r="I38" s="4" t="s">
        <v>51</v>
      </c>
      <c r="J38" s="7">
        <v>4</v>
      </c>
    </row>
    <row r="39" spans="1:10" ht="15" thickBot="1" x14ac:dyDescent="0.35">
      <c r="A39" s="6" t="s">
        <v>85</v>
      </c>
      <c r="B39" s="5">
        <v>45346</v>
      </c>
      <c r="C39" s="4" t="s">
        <v>34</v>
      </c>
      <c r="D39" s="4" t="s">
        <v>68</v>
      </c>
      <c r="E39" s="4" t="s">
        <v>46</v>
      </c>
      <c r="F39" s="4" t="s">
        <v>54</v>
      </c>
      <c r="G39" s="4" t="s">
        <v>30</v>
      </c>
      <c r="H39" s="4" t="s">
        <v>31</v>
      </c>
      <c r="I39" s="4" t="s">
        <v>32</v>
      </c>
      <c r="J39" s="7">
        <v>0</v>
      </c>
    </row>
    <row r="40" spans="1:10" ht="27.6" thickBot="1" x14ac:dyDescent="0.35">
      <c r="A40" s="6" t="s">
        <v>86</v>
      </c>
      <c r="B40" s="5">
        <v>45447</v>
      </c>
      <c r="C40" s="4" t="s">
        <v>58</v>
      </c>
      <c r="D40" s="4" t="s">
        <v>50</v>
      </c>
      <c r="E40" s="4" t="s">
        <v>65</v>
      </c>
      <c r="F40" s="4" t="s">
        <v>54</v>
      </c>
      <c r="G40" s="4" t="s">
        <v>36</v>
      </c>
      <c r="H40" s="4" t="s">
        <v>42</v>
      </c>
      <c r="I40" s="4" t="s">
        <v>56</v>
      </c>
      <c r="J40" s="7">
        <v>1</v>
      </c>
    </row>
    <row r="41" spans="1:10" ht="15" thickBot="1" x14ac:dyDescent="0.35">
      <c r="A41" s="6" t="s">
        <v>87</v>
      </c>
      <c r="B41" s="5">
        <v>45442</v>
      </c>
      <c r="C41" s="4" t="s">
        <v>44</v>
      </c>
      <c r="D41" s="4" t="s">
        <v>45</v>
      </c>
      <c r="E41" s="4" t="s">
        <v>74</v>
      </c>
      <c r="F41" s="4" t="s">
        <v>29</v>
      </c>
      <c r="G41" s="4" t="s">
        <v>36</v>
      </c>
      <c r="H41" s="4" t="s">
        <v>31</v>
      </c>
      <c r="I41" s="4" t="s">
        <v>51</v>
      </c>
      <c r="J41" s="7">
        <v>0</v>
      </c>
    </row>
    <row r="42" spans="1:10" ht="27.6" thickBot="1" x14ac:dyDescent="0.35">
      <c r="A42" s="6" t="s">
        <v>88</v>
      </c>
      <c r="B42" s="5">
        <v>45386</v>
      </c>
      <c r="C42" s="4" t="s">
        <v>26</v>
      </c>
      <c r="D42" s="4" t="s">
        <v>70</v>
      </c>
      <c r="E42" s="4" t="s">
        <v>53</v>
      </c>
      <c r="F42" s="4" t="s">
        <v>40</v>
      </c>
      <c r="G42" s="4" t="s">
        <v>61</v>
      </c>
      <c r="H42" s="4" t="s">
        <v>42</v>
      </c>
      <c r="I42" s="4" t="s">
        <v>32</v>
      </c>
      <c r="J42" s="7">
        <v>0</v>
      </c>
    </row>
    <row r="43" spans="1:10" ht="15" thickBot="1" x14ac:dyDescent="0.35">
      <c r="A43" s="6" t="s">
        <v>89</v>
      </c>
      <c r="B43" s="5">
        <v>45422</v>
      </c>
      <c r="C43" s="4" t="s">
        <v>26</v>
      </c>
      <c r="D43" s="4" t="s">
        <v>27</v>
      </c>
      <c r="E43" s="4" t="s">
        <v>39</v>
      </c>
      <c r="F43" s="4" t="s">
        <v>35</v>
      </c>
      <c r="G43" s="4" t="s">
        <v>30</v>
      </c>
      <c r="H43" s="4" t="s">
        <v>66</v>
      </c>
      <c r="I43" s="4" t="s">
        <v>47</v>
      </c>
      <c r="J43" s="7">
        <v>4</v>
      </c>
    </row>
    <row r="44" spans="1:10" ht="27.6" thickBot="1" x14ac:dyDescent="0.35">
      <c r="A44" s="6" t="s">
        <v>90</v>
      </c>
      <c r="B44" s="5">
        <v>45353</v>
      </c>
      <c r="C44" s="4" t="s">
        <v>73</v>
      </c>
      <c r="D44" s="4" t="s">
        <v>50</v>
      </c>
      <c r="E44" s="4" t="s">
        <v>28</v>
      </c>
      <c r="F44" s="4" t="s">
        <v>54</v>
      </c>
      <c r="G44" s="4" t="s">
        <v>36</v>
      </c>
      <c r="H44" s="4" t="s">
        <v>66</v>
      </c>
      <c r="I44" s="4" t="s">
        <v>51</v>
      </c>
      <c r="J44" s="7">
        <v>4</v>
      </c>
    </row>
    <row r="45" spans="1:10" ht="27.6" thickBot="1" x14ac:dyDescent="0.35">
      <c r="A45" s="6" t="s">
        <v>91</v>
      </c>
      <c r="B45" s="5">
        <v>45398</v>
      </c>
      <c r="C45" s="4" t="s">
        <v>44</v>
      </c>
      <c r="D45" s="4" t="s">
        <v>70</v>
      </c>
      <c r="E45" s="4" t="s">
        <v>53</v>
      </c>
      <c r="F45" s="4" t="s">
        <v>35</v>
      </c>
      <c r="G45" s="4" t="s">
        <v>41</v>
      </c>
      <c r="H45" s="4" t="s">
        <v>66</v>
      </c>
      <c r="I45" s="4" t="s">
        <v>37</v>
      </c>
      <c r="J45" s="7">
        <v>0</v>
      </c>
    </row>
    <row r="46" spans="1:10" ht="15" thickBot="1" x14ac:dyDescent="0.35">
      <c r="A46" s="6" t="s">
        <v>92</v>
      </c>
      <c r="B46" s="5">
        <v>45452</v>
      </c>
      <c r="C46" s="4" t="s">
        <v>79</v>
      </c>
      <c r="D46" s="4" t="s">
        <v>68</v>
      </c>
      <c r="E46" s="4" t="s">
        <v>65</v>
      </c>
      <c r="F46" s="4" t="s">
        <v>54</v>
      </c>
      <c r="G46" s="4" t="s">
        <v>61</v>
      </c>
      <c r="H46" s="4" t="s">
        <v>66</v>
      </c>
      <c r="I46" s="4" t="s">
        <v>32</v>
      </c>
      <c r="J46" s="7">
        <v>5</v>
      </c>
    </row>
    <row r="47" spans="1:10" ht="27.6" thickBot="1" x14ac:dyDescent="0.35">
      <c r="A47" s="6" t="s">
        <v>93</v>
      </c>
      <c r="B47" s="5">
        <v>45347</v>
      </c>
      <c r="C47" s="4" t="s">
        <v>73</v>
      </c>
      <c r="D47" s="4" t="s">
        <v>70</v>
      </c>
      <c r="E47" s="4" t="s">
        <v>28</v>
      </c>
      <c r="F47" s="4" t="s">
        <v>54</v>
      </c>
      <c r="G47" s="4" t="s">
        <v>36</v>
      </c>
      <c r="H47" s="4" t="s">
        <v>42</v>
      </c>
      <c r="I47" s="4" t="s">
        <v>56</v>
      </c>
      <c r="J47" s="7">
        <v>2</v>
      </c>
    </row>
    <row r="48" spans="1:10" ht="27.6" thickBot="1" x14ac:dyDescent="0.35">
      <c r="A48" s="6" t="s">
        <v>94</v>
      </c>
      <c r="B48" s="5">
        <v>45467</v>
      </c>
      <c r="C48" s="4" t="s">
        <v>44</v>
      </c>
      <c r="D48" s="4" t="s">
        <v>68</v>
      </c>
      <c r="E48" s="4" t="s">
        <v>28</v>
      </c>
      <c r="F48" s="4" t="s">
        <v>40</v>
      </c>
      <c r="G48" s="4" t="s">
        <v>36</v>
      </c>
      <c r="H48" s="4" t="s">
        <v>42</v>
      </c>
      <c r="I48" s="4" t="s">
        <v>37</v>
      </c>
      <c r="J48" s="7">
        <v>1</v>
      </c>
    </row>
    <row r="49" spans="1:10" ht="27.6" thickBot="1" x14ac:dyDescent="0.35">
      <c r="A49" s="6" t="s">
        <v>95</v>
      </c>
      <c r="B49" s="5">
        <v>45403</v>
      </c>
      <c r="C49" s="4" t="s">
        <v>79</v>
      </c>
      <c r="D49" s="4" t="s">
        <v>50</v>
      </c>
      <c r="E49" s="4" t="s">
        <v>39</v>
      </c>
      <c r="F49" s="4" t="s">
        <v>29</v>
      </c>
      <c r="G49" s="4" t="s">
        <v>41</v>
      </c>
      <c r="H49" s="4" t="s">
        <v>55</v>
      </c>
      <c r="I49" s="4" t="s">
        <v>56</v>
      </c>
      <c r="J49" s="7">
        <v>1</v>
      </c>
    </row>
    <row r="50" spans="1:10" ht="15" thickBot="1" x14ac:dyDescent="0.35">
      <c r="A50" s="6" t="s">
        <v>96</v>
      </c>
      <c r="B50" s="5">
        <v>45293</v>
      </c>
      <c r="C50" s="4" t="s">
        <v>34</v>
      </c>
      <c r="D50" s="4" t="s">
        <v>27</v>
      </c>
      <c r="E50" s="4" t="s">
        <v>46</v>
      </c>
      <c r="F50" s="4" t="s">
        <v>29</v>
      </c>
      <c r="G50" s="4" t="s">
        <v>61</v>
      </c>
      <c r="H50" s="4" t="s">
        <v>66</v>
      </c>
      <c r="I50" s="4" t="s">
        <v>59</v>
      </c>
      <c r="J50" s="7">
        <v>3</v>
      </c>
    </row>
    <row r="51" spans="1:10" ht="27.6" thickBot="1" x14ac:dyDescent="0.35">
      <c r="A51" s="6" t="s">
        <v>97</v>
      </c>
      <c r="B51" s="5">
        <v>45436</v>
      </c>
      <c r="C51" s="4" t="s">
        <v>79</v>
      </c>
      <c r="D51" s="4" t="s">
        <v>50</v>
      </c>
      <c r="E51" s="4" t="s">
        <v>28</v>
      </c>
      <c r="F51" s="4" t="s">
        <v>29</v>
      </c>
      <c r="G51" s="4" t="s">
        <v>61</v>
      </c>
      <c r="H51" s="4" t="s">
        <v>31</v>
      </c>
      <c r="I51" s="4" t="s">
        <v>37</v>
      </c>
      <c r="J51" s="7">
        <v>4</v>
      </c>
    </row>
    <row r="52" spans="1:10" ht="15" thickBot="1" x14ac:dyDescent="0.35">
      <c r="A52" s="6" t="s">
        <v>98</v>
      </c>
      <c r="B52" s="5">
        <v>45317</v>
      </c>
      <c r="C52" s="4" t="s">
        <v>64</v>
      </c>
      <c r="D52" s="4" t="s">
        <v>68</v>
      </c>
      <c r="E52" s="4" t="s">
        <v>65</v>
      </c>
      <c r="F52" s="4" t="s">
        <v>29</v>
      </c>
      <c r="G52" s="4" t="s">
        <v>41</v>
      </c>
      <c r="H52" s="4" t="s">
        <v>55</v>
      </c>
      <c r="I52" s="4" t="s">
        <v>32</v>
      </c>
      <c r="J52" s="7">
        <v>5</v>
      </c>
    </row>
    <row r="53" spans="1:10" ht="15" thickBot="1" x14ac:dyDescent="0.35">
      <c r="A53" s="6" t="s">
        <v>99</v>
      </c>
      <c r="B53" s="5">
        <v>45314</v>
      </c>
      <c r="C53" s="4" t="s">
        <v>49</v>
      </c>
      <c r="D53" s="4" t="s">
        <v>27</v>
      </c>
      <c r="E53" s="4" t="s">
        <v>28</v>
      </c>
      <c r="F53" s="4" t="s">
        <v>40</v>
      </c>
      <c r="G53" s="4" t="s">
        <v>41</v>
      </c>
      <c r="H53" s="4" t="s">
        <v>66</v>
      </c>
      <c r="I53" s="4" t="s">
        <v>59</v>
      </c>
      <c r="J53" s="7">
        <v>0</v>
      </c>
    </row>
    <row r="54" spans="1:10" ht="27.6" thickBot="1" x14ac:dyDescent="0.35">
      <c r="A54" s="6" t="s">
        <v>100</v>
      </c>
      <c r="B54" s="5">
        <v>45408</v>
      </c>
      <c r="C54" s="4" t="s">
        <v>44</v>
      </c>
      <c r="D54" s="4" t="s">
        <v>50</v>
      </c>
      <c r="E54" s="4" t="s">
        <v>53</v>
      </c>
      <c r="F54" s="4" t="s">
        <v>35</v>
      </c>
      <c r="G54" s="4" t="s">
        <v>41</v>
      </c>
      <c r="H54" s="4" t="s">
        <v>42</v>
      </c>
      <c r="I54" s="4" t="s">
        <v>59</v>
      </c>
      <c r="J54" s="7">
        <v>2</v>
      </c>
    </row>
    <row r="55" spans="1:10" ht="15" thickBot="1" x14ac:dyDescent="0.35">
      <c r="A55" s="6" t="s">
        <v>101</v>
      </c>
      <c r="B55" s="5">
        <v>45365</v>
      </c>
      <c r="C55" s="4" t="s">
        <v>26</v>
      </c>
      <c r="D55" s="4" t="s">
        <v>27</v>
      </c>
      <c r="E55" s="4" t="s">
        <v>28</v>
      </c>
      <c r="F55" s="4" t="s">
        <v>54</v>
      </c>
      <c r="G55" s="4" t="s">
        <v>36</v>
      </c>
      <c r="H55" s="4" t="s">
        <v>42</v>
      </c>
      <c r="I55" s="4" t="s">
        <v>51</v>
      </c>
      <c r="J55" s="7">
        <v>1</v>
      </c>
    </row>
    <row r="56" spans="1:10" ht="27.6" thickBot="1" x14ac:dyDescent="0.35">
      <c r="A56" s="6" t="s">
        <v>102</v>
      </c>
      <c r="B56" s="5">
        <v>45301</v>
      </c>
      <c r="C56" s="4" t="s">
        <v>26</v>
      </c>
      <c r="D56" s="4" t="s">
        <v>50</v>
      </c>
      <c r="E56" s="4" t="s">
        <v>28</v>
      </c>
      <c r="F56" s="4" t="s">
        <v>29</v>
      </c>
      <c r="G56" s="4" t="s">
        <v>61</v>
      </c>
      <c r="H56" s="4" t="s">
        <v>55</v>
      </c>
      <c r="I56" s="4" t="s">
        <v>47</v>
      </c>
      <c r="J56" s="7">
        <v>4</v>
      </c>
    </row>
    <row r="57" spans="1:10" ht="15" thickBot="1" x14ac:dyDescent="0.35">
      <c r="A57" s="6" t="s">
        <v>103</v>
      </c>
      <c r="B57" s="5">
        <v>45410</v>
      </c>
      <c r="C57" s="4" t="s">
        <v>34</v>
      </c>
      <c r="D57" s="4" t="s">
        <v>45</v>
      </c>
      <c r="E57" s="4" t="s">
        <v>53</v>
      </c>
      <c r="F57" s="4" t="s">
        <v>35</v>
      </c>
      <c r="G57" s="4" t="s">
        <v>41</v>
      </c>
      <c r="H57" s="4" t="s">
        <v>55</v>
      </c>
      <c r="I57" s="4" t="s">
        <v>59</v>
      </c>
      <c r="J57" s="7">
        <v>2</v>
      </c>
    </row>
    <row r="58" spans="1:10" ht="15" thickBot="1" x14ac:dyDescent="0.35">
      <c r="A58" s="6" t="s">
        <v>104</v>
      </c>
      <c r="B58" s="5">
        <v>45314</v>
      </c>
      <c r="C58" s="4" t="s">
        <v>49</v>
      </c>
      <c r="D58" s="4" t="s">
        <v>27</v>
      </c>
      <c r="E58" s="4" t="s">
        <v>39</v>
      </c>
      <c r="F58" s="4" t="s">
        <v>40</v>
      </c>
      <c r="G58" s="4" t="s">
        <v>41</v>
      </c>
      <c r="H58" s="4" t="s">
        <v>55</v>
      </c>
      <c r="I58" s="4" t="s">
        <v>47</v>
      </c>
      <c r="J58" s="7">
        <v>2</v>
      </c>
    </row>
    <row r="59" spans="1:10" ht="27.6" thickBot="1" x14ac:dyDescent="0.35">
      <c r="A59" s="6" t="s">
        <v>105</v>
      </c>
      <c r="B59" s="5">
        <v>45370</v>
      </c>
      <c r="C59" s="4" t="s">
        <v>26</v>
      </c>
      <c r="D59" s="4" t="s">
        <v>50</v>
      </c>
      <c r="E59" s="4" t="s">
        <v>53</v>
      </c>
      <c r="F59" s="4" t="s">
        <v>40</v>
      </c>
      <c r="G59" s="4" t="s">
        <v>61</v>
      </c>
      <c r="H59" s="4" t="s">
        <v>42</v>
      </c>
      <c r="I59" s="4" t="s">
        <v>51</v>
      </c>
      <c r="J59" s="7">
        <v>4</v>
      </c>
    </row>
    <row r="60" spans="1:10" ht="15" thickBot="1" x14ac:dyDescent="0.35">
      <c r="A60" s="6" t="s">
        <v>106</v>
      </c>
      <c r="B60" s="5">
        <v>45371</v>
      </c>
      <c r="C60" s="4" t="s">
        <v>26</v>
      </c>
      <c r="D60" s="4" t="s">
        <v>27</v>
      </c>
      <c r="E60" s="4" t="s">
        <v>74</v>
      </c>
      <c r="F60" s="4" t="s">
        <v>29</v>
      </c>
      <c r="G60" s="4" t="s">
        <v>61</v>
      </c>
      <c r="H60" s="4" t="s">
        <v>66</v>
      </c>
      <c r="I60" s="4" t="s">
        <v>47</v>
      </c>
      <c r="J60" s="7">
        <v>3</v>
      </c>
    </row>
    <row r="61" spans="1:10" ht="27.6" thickBot="1" x14ac:dyDescent="0.35">
      <c r="A61" s="6" t="s">
        <v>107</v>
      </c>
      <c r="B61" s="5">
        <v>45417</v>
      </c>
      <c r="C61" s="4" t="s">
        <v>34</v>
      </c>
      <c r="D61" s="4" t="s">
        <v>50</v>
      </c>
      <c r="E61" s="4" t="s">
        <v>65</v>
      </c>
      <c r="F61" s="4" t="s">
        <v>54</v>
      </c>
      <c r="G61" s="4" t="s">
        <v>30</v>
      </c>
      <c r="H61" s="4" t="s">
        <v>55</v>
      </c>
      <c r="I61" s="4" t="s">
        <v>59</v>
      </c>
      <c r="J61" s="7">
        <v>0</v>
      </c>
    </row>
    <row r="62" spans="1:10" ht="15" thickBot="1" x14ac:dyDescent="0.35">
      <c r="A62" s="6" t="s">
        <v>108</v>
      </c>
      <c r="B62" s="5">
        <v>45402</v>
      </c>
      <c r="C62" s="4" t="s">
        <v>26</v>
      </c>
      <c r="D62" s="4" t="s">
        <v>27</v>
      </c>
      <c r="E62" s="4" t="s">
        <v>53</v>
      </c>
      <c r="F62" s="4" t="s">
        <v>35</v>
      </c>
      <c r="G62" s="4" t="s">
        <v>30</v>
      </c>
      <c r="H62" s="4" t="s">
        <v>66</v>
      </c>
      <c r="I62" s="4" t="s">
        <v>32</v>
      </c>
      <c r="J62" s="7">
        <v>1</v>
      </c>
    </row>
    <row r="63" spans="1:10" ht="27.6" thickBot="1" x14ac:dyDescent="0.35">
      <c r="A63" s="6" t="s">
        <v>109</v>
      </c>
      <c r="B63" s="5">
        <v>45466</v>
      </c>
      <c r="C63" s="4" t="s">
        <v>73</v>
      </c>
      <c r="D63" s="4" t="s">
        <v>50</v>
      </c>
      <c r="E63" s="4" t="s">
        <v>65</v>
      </c>
      <c r="F63" s="4" t="s">
        <v>54</v>
      </c>
      <c r="G63" s="4" t="s">
        <v>61</v>
      </c>
      <c r="H63" s="4" t="s">
        <v>42</v>
      </c>
      <c r="I63" s="4" t="s">
        <v>56</v>
      </c>
      <c r="J63" s="7">
        <v>0</v>
      </c>
    </row>
    <row r="64" spans="1:10" ht="15" thickBot="1" x14ac:dyDescent="0.35">
      <c r="A64" s="6" t="s">
        <v>110</v>
      </c>
      <c r="B64" s="5">
        <v>45369</v>
      </c>
      <c r="C64" s="4" t="s">
        <v>79</v>
      </c>
      <c r="D64" s="4" t="s">
        <v>45</v>
      </c>
      <c r="E64" s="4" t="s">
        <v>65</v>
      </c>
      <c r="F64" s="4" t="s">
        <v>29</v>
      </c>
      <c r="G64" s="4" t="s">
        <v>30</v>
      </c>
      <c r="H64" s="4" t="s">
        <v>31</v>
      </c>
      <c r="I64" s="4" t="s">
        <v>51</v>
      </c>
      <c r="J64" s="7">
        <v>5</v>
      </c>
    </row>
    <row r="65" spans="1:10" ht="27.6" thickBot="1" x14ac:dyDescent="0.35">
      <c r="A65" s="6" t="s">
        <v>111</v>
      </c>
      <c r="B65" s="5">
        <v>45436</v>
      </c>
      <c r="C65" s="4" t="s">
        <v>49</v>
      </c>
      <c r="D65" s="4" t="s">
        <v>70</v>
      </c>
      <c r="E65" s="4" t="s">
        <v>46</v>
      </c>
      <c r="F65" s="4" t="s">
        <v>35</v>
      </c>
      <c r="G65" s="4" t="s">
        <v>36</v>
      </c>
      <c r="H65" s="4" t="s">
        <v>55</v>
      </c>
      <c r="I65" s="4" t="s">
        <v>59</v>
      </c>
      <c r="J65" s="7">
        <v>2</v>
      </c>
    </row>
    <row r="66" spans="1:10" ht="15" thickBot="1" x14ac:dyDescent="0.35">
      <c r="A66" s="6" t="s">
        <v>112</v>
      </c>
      <c r="B66" s="5">
        <v>45383</v>
      </c>
      <c r="C66" s="4" t="s">
        <v>64</v>
      </c>
      <c r="D66" s="4" t="s">
        <v>45</v>
      </c>
      <c r="E66" s="4" t="s">
        <v>39</v>
      </c>
      <c r="F66" s="4" t="s">
        <v>40</v>
      </c>
      <c r="G66" s="4" t="s">
        <v>30</v>
      </c>
      <c r="H66" s="4" t="s">
        <v>31</v>
      </c>
      <c r="I66" s="4" t="s">
        <v>56</v>
      </c>
      <c r="J66" s="7">
        <v>0</v>
      </c>
    </row>
    <row r="67" spans="1:10" ht="27.6" thickBot="1" x14ac:dyDescent="0.35">
      <c r="A67" s="6" t="s">
        <v>113</v>
      </c>
      <c r="B67" s="5">
        <v>45347</v>
      </c>
      <c r="C67" s="4" t="s">
        <v>58</v>
      </c>
      <c r="D67" s="4" t="s">
        <v>50</v>
      </c>
      <c r="E67" s="4" t="s">
        <v>46</v>
      </c>
      <c r="F67" s="4" t="s">
        <v>35</v>
      </c>
      <c r="G67" s="4" t="s">
        <v>36</v>
      </c>
      <c r="H67" s="4" t="s">
        <v>66</v>
      </c>
      <c r="I67" s="4" t="s">
        <v>51</v>
      </c>
      <c r="J67" s="7">
        <v>2</v>
      </c>
    </row>
    <row r="68" spans="1:10" ht="27.6" thickBot="1" x14ac:dyDescent="0.35">
      <c r="A68" s="6" t="s">
        <v>114</v>
      </c>
      <c r="B68" s="5">
        <v>45311</v>
      </c>
      <c r="C68" s="4" t="s">
        <v>79</v>
      </c>
      <c r="D68" s="4" t="s">
        <v>70</v>
      </c>
      <c r="E68" s="4" t="s">
        <v>53</v>
      </c>
      <c r="F68" s="4" t="s">
        <v>40</v>
      </c>
      <c r="G68" s="4" t="s">
        <v>41</v>
      </c>
      <c r="H68" s="4" t="s">
        <v>31</v>
      </c>
      <c r="I68" s="4" t="s">
        <v>56</v>
      </c>
      <c r="J68" s="7">
        <v>3</v>
      </c>
    </row>
    <row r="69" spans="1:10" ht="27.6" thickBot="1" x14ac:dyDescent="0.35">
      <c r="A69" s="6" t="s">
        <v>115</v>
      </c>
      <c r="B69" s="5">
        <v>45345</v>
      </c>
      <c r="C69" s="4" t="s">
        <v>26</v>
      </c>
      <c r="D69" s="4" t="s">
        <v>50</v>
      </c>
      <c r="E69" s="4" t="s">
        <v>46</v>
      </c>
      <c r="F69" s="4" t="s">
        <v>40</v>
      </c>
      <c r="G69" s="4" t="s">
        <v>30</v>
      </c>
      <c r="H69" s="4" t="s">
        <v>66</v>
      </c>
      <c r="I69" s="4" t="s">
        <v>56</v>
      </c>
      <c r="J69" s="7">
        <v>5</v>
      </c>
    </row>
    <row r="70" spans="1:10" ht="15" thickBot="1" x14ac:dyDescent="0.35">
      <c r="A70" s="6" t="s">
        <v>116</v>
      </c>
      <c r="B70" s="5">
        <v>45433</v>
      </c>
      <c r="C70" s="4" t="s">
        <v>26</v>
      </c>
      <c r="D70" s="4" t="s">
        <v>27</v>
      </c>
      <c r="E70" s="4" t="s">
        <v>28</v>
      </c>
      <c r="F70" s="4" t="s">
        <v>29</v>
      </c>
      <c r="G70" s="4" t="s">
        <v>36</v>
      </c>
      <c r="H70" s="4" t="s">
        <v>31</v>
      </c>
      <c r="I70" s="4" t="s">
        <v>47</v>
      </c>
      <c r="J70" s="7">
        <v>4</v>
      </c>
    </row>
    <row r="71" spans="1:10" ht="15" thickBot="1" x14ac:dyDescent="0.35">
      <c r="A71" s="6" t="s">
        <v>117</v>
      </c>
      <c r="B71" s="5">
        <v>45374</v>
      </c>
      <c r="C71" s="4" t="s">
        <v>49</v>
      </c>
      <c r="D71" s="4" t="s">
        <v>27</v>
      </c>
      <c r="E71" s="4" t="s">
        <v>74</v>
      </c>
      <c r="F71" s="4" t="s">
        <v>35</v>
      </c>
      <c r="G71" s="4" t="s">
        <v>41</v>
      </c>
      <c r="H71" s="4" t="s">
        <v>31</v>
      </c>
      <c r="I71" s="4" t="s">
        <v>56</v>
      </c>
      <c r="J71" s="7">
        <v>3</v>
      </c>
    </row>
    <row r="72" spans="1:10" ht="15" thickBot="1" x14ac:dyDescent="0.35">
      <c r="A72" s="6" t="s">
        <v>118</v>
      </c>
      <c r="B72" s="5">
        <v>45433</v>
      </c>
      <c r="C72" s="4" t="s">
        <v>49</v>
      </c>
      <c r="D72" s="4" t="s">
        <v>27</v>
      </c>
      <c r="E72" s="4" t="s">
        <v>74</v>
      </c>
      <c r="F72" s="4" t="s">
        <v>40</v>
      </c>
      <c r="G72" s="4" t="s">
        <v>41</v>
      </c>
      <c r="H72" s="4" t="s">
        <v>55</v>
      </c>
      <c r="I72" s="4" t="s">
        <v>59</v>
      </c>
      <c r="J72" s="7">
        <v>5</v>
      </c>
    </row>
    <row r="73" spans="1:10" ht="15" thickBot="1" x14ac:dyDescent="0.35">
      <c r="A73" s="6" t="s">
        <v>119</v>
      </c>
      <c r="B73" s="5">
        <v>45367</v>
      </c>
      <c r="C73" s="4" t="s">
        <v>26</v>
      </c>
      <c r="D73" s="4" t="s">
        <v>45</v>
      </c>
      <c r="E73" s="4" t="s">
        <v>28</v>
      </c>
      <c r="F73" s="4" t="s">
        <v>35</v>
      </c>
      <c r="G73" s="4" t="s">
        <v>61</v>
      </c>
      <c r="H73" s="4" t="s">
        <v>55</v>
      </c>
      <c r="I73" s="4" t="s">
        <v>47</v>
      </c>
      <c r="J73" s="7">
        <v>2</v>
      </c>
    </row>
    <row r="74" spans="1:10" ht="15" thickBot="1" x14ac:dyDescent="0.35">
      <c r="A74" s="6" t="s">
        <v>120</v>
      </c>
      <c r="B74" s="5">
        <v>45317</v>
      </c>
      <c r="C74" s="4" t="s">
        <v>34</v>
      </c>
      <c r="D74" s="4" t="s">
        <v>45</v>
      </c>
      <c r="E74" s="4" t="s">
        <v>53</v>
      </c>
      <c r="F74" s="4" t="s">
        <v>35</v>
      </c>
      <c r="G74" s="4" t="s">
        <v>41</v>
      </c>
      <c r="H74" s="4" t="s">
        <v>42</v>
      </c>
      <c r="I74" s="4" t="s">
        <v>59</v>
      </c>
      <c r="J74" s="7">
        <v>4</v>
      </c>
    </row>
    <row r="75" spans="1:10" ht="15" thickBot="1" x14ac:dyDescent="0.35">
      <c r="A75" s="6" t="s">
        <v>121</v>
      </c>
      <c r="B75" s="5">
        <v>45426</v>
      </c>
      <c r="C75" s="4" t="s">
        <v>44</v>
      </c>
      <c r="D75" s="4" t="s">
        <v>27</v>
      </c>
      <c r="E75" s="4" t="s">
        <v>53</v>
      </c>
      <c r="F75" s="4" t="s">
        <v>54</v>
      </c>
      <c r="G75" s="4" t="s">
        <v>30</v>
      </c>
      <c r="H75" s="4" t="s">
        <v>42</v>
      </c>
      <c r="I75" s="4" t="s">
        <v>56</v>
      </c>
      <c r="J75" s="7">
        <v>2</v>
      </c>
    </row>
    <row r="76" spans="1:10" ht="27.6" thickBot="1" x14ac:dyDescent="0.35">
      <c r="A76" s="6" t="s">
        <v>122</v>
      </c>
      <c r="B76" s="5">
        <v>45423</v>
      </c>
      <c r="C76" s="4" t="s">
        <v>26</v>
      </c>
      <c r="D76" s="4" t="s">
        <v>50</v>
      </c>
      <c r="E76" s="4" t="s">
        <v>39</v>
      </c>
      <c r="F76" s="4" t="s">
        <v>35</v>
      </c>
      <c r="G76" s="4" t="s">
        <v>41</v>
      </c>
      <c r="H76" s="4" t="s">
        <v>42</v>
      </c>
      <c r="I76" s="4" t="s">
        <v>47</v>
      </c>
      <c r="J76" s="7">
        <v>5</v>
      </c>
    </row>
    <row r="77" spans="1:10" ht="15" thickBot="1" x14ac:dyDescent="0.35">
      <c r="A77" s="6" t="s">
        <v>123</v>
      </c>
      <c r="B77" s="5">
        <v>45355</v>
      </c>
      <c r="C77" s="4" t="s">
        <v>34</v>
      </c>
      <c r="D77" s="4" t="s">
        <v>45</v>
      </c>
      <c r="E77" s="4" t="s">
        <v>65</v>
      </c>
      <c r="F77" s="4" t="s">
        <v>35</v>
      </c>
      <c r="G77" s="4" t="s">
        <v>36</v>
      </c>
      <c r="H77" s="4" t="s">
        <v>55</v>
      </c>
      <c r="I77" s="4" t="s">
        <v>59</v>
      </c>
      <c r="J77" s="7">
        <v>5</v>
      </c>
    </row>
    <row r="78" spans="1:10" ht="27.6" thickBot="1" x14ac:dyDescent="0.35">
      <c r="A78" s="6" t="s">
        <v>124</v>
      </c>
      <c r="B78" s="5">
        <v>45453</v>
      </c>
      <c r="C78" s="4" t="s">
        <v>73</v>
      </c>
      <c r="D78" s="4" t="s">
        <v>50</v>
      </c>
      <c r="E78" s="4" t="s">
        <v>28</v>
      </c>
      <c r="F78" s="4" t="s">
        <v>29</v>
      </c>
      <c r="G78" s="4" t="s">
        <v>41</v>
      </c>
      <c r="H78" s="4" t="s">
        <v>66</v>
      </c>
      <c r="I78" s="4" t="s">
        <v>47</v>
      </c>
      <c r="J78" s="7">
        <v>1</v>
      </c>
    </row>
    <row r="79" spans="1:10" ht="15" thickBot="1" x14ac:dyDescent="0.35">
      <c r="A79" s="6" t="s">
        <v>125</v>
      </c>
      <c r="B79" s="5">
        <v>45301</v>
      </c>
      <c r="C79" s="4" t="s">
        <v>79</v>
      </c>
      <c r="D79" s="4" t="s">
        <v>27</v>
      </c>
      <c r="E79" s="4" t="s">
        <v>74</v>
      </c>
      <c r="F79" s="4" t="s">
        <v>54</v>
      </c>
      <c r="G79" s="4" t="s">
        <v>41</v>
      </c>
      <c r="H79" s="4" t="s">
        <v>66</v>
      </c>
      <c r="I79" s="4" t="s">
        <v>59</v>
      </c>
      <c r="J79" s="7">
        <v>4</v>
      </c>
    </row>
    <row r="80" spans="1:10" ht="27.6" thickBot="1" x14ac:dyDescent="0.35">
      <c r="A80" s="6" t="s">
        <v>126</v>
      </c>
      <c r="B80" s="5">
        <v>45360</v>
      </c>
      <c r="C80" s="4" t="s">
        <v>44</v>
      </c>
      <c r="D80" s="4" t="s">
        <v>70</v>
      </c>
      <c r="E80" s="4" t="s">
        <v>28</v>
      </c>
      <c r="F80" s="4" t="s">
        <v>40</v>
      </c>
      <c r="G80" s="4" t="s">
        <v>30</v>
      </c>
      <c r="H80" s="4" t="s">
        <v>55</v>
      </c>
      <c r="I80" s="4" t="s">
        <v>37</v>
      </c>
      <c r="J80" s="7">
        <v>1</v>
      </c>
    </row>
    <row r="81" spans="1:10" ht="15" thickBot="1" x14ac:dyDescent="0.35">
      <c r="A81" s="6" t="s">
        <v>127</v>
      </c>
      <c r="B81" s="5">
        <v>45367</v>
      </c>
      <c r="C81" s="4" t="s">
        <v>64</v>
      </c>
      <c r="D81" s="4" t="s">
        <v>27</v>
      </c>
      <c r="E81" s="4" t="s">
        <v>65</v>
      </c>
      <c r="F81" s="4" t="s">
        <v>40</v>
      </c>
      <c r="G81" s="4" t="s">
        <v>61</v>
      </c>
      <c r="H81" s="4" t="s">
        <v>55</v>
      </c>
      <c r="I81" s="4" t="s">
        <v>32</v>
      </c>
      <c r="J81" s="7">
        <v>2</v>
      </c>
    </row>
    <row r="82" spans="1:10" ht="15" thickBot="1" x14ac:dyDescent="0.35">
      <c r="A82" s="6" t="s">
        <v>128</v>
      </c>
      <c r="B82" s="5">
        <v>45337</v>
      </c>
      <c r="C82" s="4" t="s">
        <v>49</v>
      </c>
      <c r="D82" s="4" t="s">
        <v>45</v>
      </c>
      <c r="E82" s="4" t="s">
        <v>39</v>
      </c>
      <c r="F82" s="4" t="s">
        <v>29</v>
      </c>
      <c r="G82" s="4" t="s">
        <v>61</v>
      </c>
      <c r="H82" s="4" t="s">
        <v>42</v>
      </c>
      <c r="I82" s="4" t="s">
        <v>59</v>
      </c>
      <c r="J82" s="7">
        <v>1</v>
      </c>
    </row>
    <row r="83" spans="1:10" ht="15" thickBot="1" x14ac:dyDescent="0.35">
      <c r="A83" s="6" t="s">
        <v>129</v>
      </c>
      <c r="B83" s="5">
        <v>45417</v>
      </c>
      <c r="C83" s="4" t="s">
        <v>49</v>
      </c>
      <c r="D83" s="4" t="s">
        <v>27</v>
      </c>
      <c r="E83" s="4" t="s">
        <v>39</v>
      </c>
      <c r="F83" s="4" t="s">
        <v>40</v>
      </c>
      <c r="G83" s="4" t="s">
        <v>36</v>
      </c>
      <c r="H83" s="4" t="s">
        <v>31</v>
      </c>
      <c r="I83" s="4" t="s">
        <v>56</v>
      </c>
      <c r="J83" s="7">
        <v>3</v>
      </c>
    </row>
    <row r="84" spans="1:10" ht="27.6" thickBot="1" x14ac:dyDescent="0.35">
      <c r="A84" s="6" t="s">
        <v>130</v>
      </c>
      <c r="B84" s="5">
        <v>45408</v>
      </c>
      <c r="C84" s="4" t="s">
        <v>34</v>
      </c>
      <c r="D84" s="4" t="s">
        <v>50</v>
      </c>
      <c r="E84" s="4" t="s">
        <v>65</v>
      </c>
      <c r="F84" s="4" t="s">
        <v>54</v>
      </c>
      <c r="G84" s="4" t="s">
        <v>41</v>
      </c>
      <c r="H84" s="4" t="s">
        <v>31</v>
      </c>
      <c r="I84" s="4" t="s">
        <v>32</v>
      </c>
      <c r="J84" s="7">
        <v>0</v>
      </c>
    </row>
    <row r="85" spans="1:10" ht="27.6" thickBot="1" x14ac:dyDescent="0.35">
      <c r="A85" s="6" t="s">
        <v>131</v>
      </c>
      <c r="B85" s="5">
        <v>45302</v>
      </c>
      <c r="C85" s="4" t="s">
        <v>79</v>
      </c>
      <c r="D85" s="4" t="s">
        <v>50</v>
      </c>
      <c r="E85" s="4" t="s">
        <v>39</v>
      </c>
      <c r="F85" s="4" t="s">
        <v>35</v>
      </c>
      <c r="G85" s="4" t="s">
        <v>36</v>
      </c>
      <c r="H85" s="4" t="s">
        <v>55</v>
      </c>
      <c r="I85" s="4" t="s">
        <v>59</v>
      </c>
      <c r="J85" s="7">
        <v>4</v>
      </c>
    </row>
    <row r="86" spans="1:10" ht="15" thickBot="1" x14ac:dyDescent="0.35">
      <c r="A86" s="6" t="s">
        <v>132</v>
      </c>
      <c r="B86" s="5">
        <v>45430</v>
      </c>
      <c r="C86" s="4" t="s">
        <v>73</v>
      </c>
      <c r="D86" s="4" t="s">
        <v>68</v>
      </c>
      <c r="E86" s="4" t="s">
        <v>53</v>
      </c>
      <c r="F86" s="4" t="s">
        <v>29</v>
      </c>
      <c r="G86" s="4" t="s">
        <v>30</v>
      </c>
      <c r="H86" s="4" t="s">
        <v>55</v>
      </c>
      <c r="I86" s="4" t="s">
        <v>32</v>
      </c>
      <c r="J86" s="7">
        <v>2</v>
      </c>
    </row>
    <row r="87" spans="1:10" ht="27.6" thickBot="1" x14ac:dyDescent="0.35">
      <c r="A87" s="6" t="s">
        <v>133</v>
      </c>
      <c r="B87" s="5">
        <v>45448</v>
      </c>
      <c r="C87" s="4" t="s">
        <v>34</v>
      </c>
      <c r="D87" s="4" t="s">
        <v>50</v>
      </c>
      <c r="E87" s="4" t="s">
        <v>74</v>
      </c>
      <c r="F87" s="4" t="s">
        <v>54</v>
      </c>
      <c r="G87" s="4" t="s">
        <v>30</v>
      </c>
      <c r="H87" s="4" t="s">
        <v>66</v>
      </c>
      <c r="I87" s="4" t="s">
        <v>56</v>
      </c>
      <c r="J87" s="7">
        <v>4</v>
      </c>
    </row>
    <row r="88" spans="1:10" ht="27.6" thickBot="1" x14ac:dyDescent="0.35">
      <c r="A88" s="6" t="s">
        <v>134</v>
      </c>
      <c r="B88" s="5">
        <v>45352</v>
      </c>
      <c r="C88" s="4" t="s">
        <v>49</v>
      </c>
      <c r="D88" s="4" t="s">
        <v>50</v>
      </c>
      <c r="E88" s="4" t="s">
        <v>65</v>
      </c>
      <c r="F88" s="4" t="s">
        <v>40</v>
      </c>
      <c r="G88" s="4" t="s">
        <v>30</v>
      </c>
      <c r="H88" s="4" t="s">
        <v>55</v>
      </c>
      <c r="I88" s="4" t="s">
        <v>51</v>
      </c>
      <c r="J88" s="7">
        <v>1</v>
      </c>
    </row>
    <row r="89" spans="1:10" ht="27.6" thickBot="1" x14ac:dyDescent="0.35">
      <c r="A89" s="6" t="s">
        <v>135</v>
      </c>
      <c r="B89" s="5">
        <v>45460</v>
      </c>
      <c r="C89" s="4" t="s">
        <v>49</v>
      </c>
      <c r="D89" s="4" t="s">
        <v>50</v>
      </c>
      <c r="E89" s="4" t="s">
        <v>53</v>
      </c>
      <c r="F89" s="4" t="s">
        <v>29</v>
      </c>
      <c r="G89" s="4" t="s">
        <v>61</v>
      </c>
      <c r="H89" s="4" t="s">
        <v>42</v>
      </c>
      <c r="I89" s="4" t="s">
        <v>56</v>
      </c>
      <c r="J89" s="7">
        <v>3</v>
      </c>
    </row>
    <row r="90" spans="1:10" ht="27.6" thickBot="1" x14ac:dyDescent="0.35">
      <c r="A90" s="6" t="s">
        <v>136</v>
      </c>
      <c r="B90" s="5">
        <v>45399</v>
      </c>
      <c r="C90" s="4" t="s">
        <v>79</v>
      </c>
      <c r="D90" s="4" t="s">
        <v>70</v>
      </c>
      <c r="E90" s="4" t="s">
        <v>74</v>
      </c>
      <c r="F90" s="4" t="s">
        <v>54</v>
      </c>
      <c r="G90" s="4" t="s">
        <v>36</v>
      </c>
      <c r="H90" s="4" t="s">
        <v>31</v>
      </c>
      <c r="I90" s="4" t="s">
        <v>37</v>
      </c>
      <c r="J90" s="7">
        <v>4</v>
      </c>
    </row>
    <row r="91" spans="1:10" ht="15" thickBot="1" x14ac:dyDescent="0.35">
      <c r="A91" s="6" t="s">
        <v>137</v>
      </c>
      <c r="B91" s="5">
        <v>45437</v>
      </c>
      <c r="C91" s="4" t="s">
        <v>49</v>
      </c>
      <c r="D91" s="4" t="s">
        <v>68</v>
      </c>
      <c r="E91" s="4" t="s">
        <v>46</v>
      </c>
      <c r="F91" s="4" t="s">
        <v>54</v>
      </c>
      <c r="G91" s="4" t="s">
        <v>30</v>
      </c>
      <c r="H91" s="4" t="s">
        <v>42</v>
      </c>
      <c r="I91" s="4" t="s">
        <v>51</v>
      </c>
      <c r="J91" s="7">
        <v>4</v>
      </c>
    </row>
    <row r="92" spans="1:10" ht="15" thickBot="1" x14ac:dyDescent="0.35">
      <c r="A92" s="6" t="s">
        <v>138</v>
      </c>
      <c r="B92" s="5">
        <v>45330</v>
      </c>
      <c r="C92" s="4" t="s">
        <v>73</v>
      </c>
      <c r="D92" s="4" t="s">
        <v>68</v>
      </c>
      <c r="E92" s="4" t="s">
        <v>46</v>
      </c>
      <c r="F92" s="4" t="s">
        <v>29</v>
      </c>
      <c r="G92" s="4" t="s">
        <v>41</v>
      </c>
      <c r="H92" s="4" t="s">
        <v>55</v>
      </c>
      <c r="I92" s="4" t="s">
        <v>47</v>
      </c>
      <c r="J92" s="7">
        <v>2</v>
      </c>
    </row>
    <row r="93" spans="1:10" ht="27.6" thickBot="1" x14ac:dyDescent="0.35">
      <c r="A93" s="6" t="s">
        <v>139</v>
      </c>
      <c r="B93" s="5">
        <v>45382</v>
      </c>
      <c r="C93" s="4" t="s">
        <v>73</v>
      </c>
      <c r="D93" s="4" t="s">
        <v>70</v>
      </c>
      <c r="E93" s="4" t="s">
        <v>53</v>
      </c>
      <c r="F93" s="4" t="s">
        <v>29</v>
      </c>
      <c r="G93" s="4" t="s">
        <v>36</v>
      </c>
      <c r="H93" s="4" t="s">
        <v>42</v>
      </c>
      <c r="I93" s="4" t="s">
        <v>32</v>
      </c>
      <c r="J93" s="7">
        <v>0</v>
      </c>
    </row>
    <row r="94" spans="1:10" ht="15" thickBot="1" x14ac:dyDescent="0.35">
      <c r="A94" s="6" t="s">
        <v>140</v>
      </c>
      <c r="B94" s="5">
        <v>45329</v>
      </c>
      <c r="C94" s="4" t="s">
        <v>34</v>
      </c>
      <c r="D94" s="4" t="s">
        <v>45</v>
      </c>
      <c r="E94" s="4" t="s">
        <v>74</v>
      </c>
      <c r="F94" s="4" t="s">
        <v>29</v>
      </c>
      <c r="G94" s="4" t="s">
        <v>61</v>
      </c>
      <c r="H94" s="4" t="s">
        <v>55</v>
      </c>
      <c r="I94" s="4" t="s">
        <v>32</v>
      </c>
      <c r="J94" s="7">
        <v>5</v>
      </c>
    </row>
    <row r="95" spans="1:10" ht="27.6" thickBot="1" x14ac:dyDescent="0.35">
      <c r="A95" s="6" t="s">
        <v>141</v>
      </c>
      <c r="B95" s="5">
        <v>45375</v>
      </c>
      <c r="C95" s="4" t="s">
        <v>64</v>
      </c>
      <c r="D95" s="4" t="s">
        <v>27</v>
      </c>
      <c r="E95" s="4" t="s">
        <v>28</v>
      </c>
      <c r="F95" s="4" t="s">
        <v>54</v>
      </c>
      <c r="G95" s="4" t="s">
        <v>30</v>
      </c>
      <c r="H95" s="4" t="s">
        <v>55</v>
      </c>
      <c r="I95" s="4" t="s">
        <v>37</v>
      </c>
      <c r="J95" s="7">
        <v>4</v>
      </c>
    </row>
    <row r="96" spans="1:10" ht="27.6" thickBot="1" x14ac:dyDescent="0.35">
      <c r="A96" s="6" t="s">
        <v>142</v>
      </c>
      <c r="B96" s="5">
        <v>45320</v>
      </c>
      <c r="C96" s="4" t="s">
        <v>58</v>
      </c>
      <c r="D96" s="4" t="s">
        <v>45</v>
      </c>
      <c r="E96" s="4" t="s">
        <v>53</v>
      </c>
      <c r="F96" s="4" t="s">
        <v>29</v>
      </c>
      <c r="G96" s="4" t="s">
        <v>30</v>
      </c>
      <c r="H96" s="4" t="s">
        <v>66</v>
      </c>
      <c r="I96" s="4" t="s">
        <v>37</v>
      </c>
      <c r="J96" s="7">
        <v>0</v>
      </c>
    </row>
    <row r="97" spans="1:10" ht="15" thickBot="1" x14ac:dyDescent="0.35">
      <c r="A97" s="6" t="s">
        <v>143</v>
      </c>
      <c r="B97" s="5">
        <v>45404</v>
      </c>
      <c r="C97" s="4" t="s">
        <v>64</v>
      </c>
      <c r="D97" s="4" t="s">
        <v>45</v>
      </c>
      <c r="E97" s="4" t="s">
        <v>74</v>
      </c>
      <c r="F97" s="4" t="s">
        <v>40</v>
      </c>
      <c r="G97" s="4" t="s">
        <v>61</v>
      </c>
      <c r="H97" s="4" t="s">
        <v>42</v>
      </c>
      <c r="I97" s="4" t="s">
        <v>32</v>
      </c>
      <c r="J97" s="7">
        <v>3</v>
      </c>
    </row>
    <row r="98" spans="1:10" ht="15" thickBot="1" x14ac:dyDescent="0.35">
      <c r="A98" s="6" t="s">
        <v>144</v>
      </c>
      <c r="B98" s="5">
        <v>45424</v>
      </c>
      <c r="C98" s="4" t="s">
        <v>34</v>
      </c>
      <c r="D98" s="4" t="s">
        <v>68</v>
      </c>
      <c r="E98" s="4" t="s">
        <v>65</v>
      </c>
      <c r="F98" s="4" t="s">
        <v>40</v>
      </c>
      <c r="G98" s="4" t="s">
        <v>36</v>
      </c>
      <c r="H98" s="4" t="s">
        <v>31</v>
      </c>
      <c r="I98" s="4" t="s">
        <v>51</v>
      </c>
      <c r="J98" s="7">
        <v>4</v>
      </c>
    </row>
    <row r="99" spans="1:10" ht="15" thickBot="1" x14ac:dyDescent="0.35">
      <c r="A99" s="6" t="s">
        <v>145</v>
      </c>
      <c r="B99" s="5">
        <v>45319</v>
      </c>
      <c r="C99" s="4" t="s">
        <v>44</v>
      </c>
      <c r="D99" s="4" t="s">
        <v>27</v>
      </c>
      <c r="E99" s="4" t="s">
        <v>65</v>
      </c>
      <c r="F99" s="4" t="s">
        <v>54</v>
      </c>
      <c r="G99" s="4" t="s">
        <v>41</v>
      </c>
      <c r="H99" s="4" t="s">
        <v>66</v>
      </c>
      <c r="I99" s="4" t="s">
        <v>47</v>
      </c>
      <c r="J99" s="7">
        <v>2</v>
      </c>
    </row>
    <row r="100" spans="1:10" ht="27.6" thickBot="1" x14ac:dyDescent="0.35">
      <c r="A100" s="6" t="s">
        <v>146</v>
      </c>
      <c r="B100" s="5">
        <v>45308</v>
      </c>
      <c r="C100" s="4" t="s">
        <v>58</v>
      </c>
      <c r="D100" s="4" t="s">
        <v>50</v>
      </c>
      <c r="E100" s="4" t="s">
        <v>46</v>
      </c>
      <c r="F100" s="4" t="s">
        <v>35</v>
      </c>
      <c r="G100" s="4" t="s">
        <v>61</v>
      </c>
      <c r="H100" s="4" t="s">
        <v>66</v>
      </c>
      <c r="I100" s="4" t="s">
        <v>59</v>
      </c>
      <c r="J100" s="7">
        <v>3</v>
      </c>
    </row>
    <row r="101" spans="1:10" ht="27.6" thickBot="1" x14ac:dyDescent="0.35">
      <c r="A101" s="6" t="s">
        <v>147</v>
      </c>
      <c r="B101" s="5">
        <v>45302</v>
      </c>
      <c r="C101" s="4" t="s">
        <v>79</v>
      </c>
      <c r="D101" s="4" t="s">
        <v>50</v>
      </c>
      <c r="E101" s="4" t="s">
        <v>53</v>
      </c>
      <c r="F101" s="4" t="s">
        <v>29</v>
      </c>
      <c r="G101" s="4" t="s">
        <v>30</v>
      </c>
      <c r="H101" s="4" t="s">
        <v>66</v>
      </c>
      <c r="I101" s="4" t="s">
        <v>56</v>
      </c>
      <c r="J101" s="7">
        <v>2</v>
      </c>
    </row>
    <row r="102" spans="1:10" ht="27.6" thickBot="1" x14ac:dyDescent="0.35">
      <c r="A102" s="6" t="s">
        <v>148</v>
      </c>
      <c r="B102" s="5">
        <v>45457</v>
      </c>
      <c r="C102" s="4" t="s">
        <v>64</v>
      </c>
      <c r="D102" s="4" t="s">
        <v>50</v>
      </c>
      <c r="E102" s="4" t="s">
        <v>65</v>
      </c>
      <c r="F102" s="4" t="s">
        <v>40</v>
      </c>
      <c r="G102" s="4" t="s">
        <v>61</v>
      </c>
      <c r="H102" s="4" t="s">
        <v>31</v>
      </c>
      <c r="I102" s="4" t="s">
        <v>47</v>
      </c>
      <c r="J102" s="7">
        <v>1</v>
      </c>
    </row>
    <row r="103" spans="1:10" ht="15" thickBot="1" x14ac:dyDescent="0.35">
      <c r="A103" s="6" t="s">
        <v>149</v>
      </c>
      <c r="B103" s="5">
        <v>45373</v>
      </c>
      <c r="C103" s="4" t="s">
        <v>26</v>
      </c>
      <c r="D103" s="4" t="s">
        <v>68</v>
      </c>
      <c r="E103" s="4" t="s">
        <v>39</v>
      </c>
      <c r="F103" s="4" t="s">
        <v>40</v>
      </c>
      <c r="G103" s="4" t="s">
        <v>30</v>
      </c>
      <c r="H103" s="4" t="s">
        <v>31</v>
      </c>
      <c r="I103" s="4" t="s">
        <v>51</v>
      </c>
      <c r="J103" s="7">
        <v>2</v>
      </c>
    </row>
    <row r="104" spans="1:10" ht="15" thickBot="1" x14ac:dyDescent="0.35">
      <c r="A104" s="6" t="s">
        <v>150</v>
      </c>
      <c r="B104" s="5">
        <v>45445</v>
      </c>
      <c r="C104" s="4" t="s">
        <v>73</v>
      </c>
      <c r="D104" s="4" t="s">
        <v>68</v>
      </c>
      <c r="E104" s="4" t="s">
        <v>28</v>
      </c>
      <c r="F104" s="4" t="s">
        <v>35</v>
      </c>
      <c r="G104" s="4" t="s">
        <v>30</v>
      </c>
      <c r="H104" s="4" t="s">
        <v>55</v>
      </c>
      <c r="I104" s="4" t="s">
        <v>59</v>
      </c>
      <c r="J104" s="7">
        <v>0</v>
      </c>
    </row>
    <row r="105" spans="1:10" ht="15" thickBot="1" x14ac:dyDescent="0.35">
      <c r="A105" s="6" t="s">
        <v>151</v>
      </c>
      <c r="B105" s="5">
        <v>45294</v>
      </c>
      <c r="C105" s="4" t="s">
        <v>34</v>
      </c>
      <c r="D105" s="4" t="s">
        <v>45</v>
      </c>
      <c r="E105" s="4" t="s">
        <v>53</v>
      </c>
      <c r="F105" s="4" t="s">
        <v>29</v>
      </c>
      <c r="G105" s="4" t="s">
        <v>30</v>
      </c>
      <c r="H105" s="4" t="s">
        <v>66</v>
      </c>
      <c r="I105" s="4" t="s">
        <v>32</v>
      </c>
      <c r="J105" s="7">
        <v>1</v>
      </c>
    </row>
    <row r="106" spans="1:10" ht="27.6" thickBot="1" x14ac:dyDescent="0.35">
      <c r="A106" s="6" t="s">
        <v>152</v>
      </c>
      <c r="B106" s="5">
        <v>45458</v>
      </c>
      <c r="C106" s="4" t="s">
        <v>79</v>
      </c>
      <c r="D106" s="4" t="s">
        <v>70</v>
      </c>
      <c r="E106" s="4" t="s">
        <v>28</v>
      </c>
      <c r="F106" s="4" t="s">
        <v>35</v>
      </c>
      <c r="G106" s="4" t="s">
        <v>41</v>
      </c>
      <c r="H106" s="4" t="s">
        <v>42</v>
      </c>
      <c r="I106" s="4" t="s">
        <v>59</v>
      </c>
      <c r="J106" s="7">
        <v>4</v>
      </c>
    </row>
    <row r="107" spans="1:10" ht="27.6" thickBot="1" x14ac:dyDescent="0.35">
      <c r="A107" s="6" t="s">
        <v>153</v>
      </c>
      <c r="B107" s="5">
        <v>45369</v>
      </c>
      <c r="C107" s="4" t="s">
        <v>26</v>
      </c>
      <c r="D107" s="4" t="s">
        <v>45</v>
      </c>
      <c r="E107" s="4" t="s">
        <v>74</v>
      </c>
      <c r="F107" s="4" t="s">
        <v>29</v>
      </c>
      <c r="G107" s="4" t="s">
        <v>36</v>
      </c>
      <c r="H107" s="4" t="s">
        <v>42</v>
      </c>
      <c r="I107" s="4" t="s">
        <v>37</v>
      </c>
      <c r="J107" s="7">
        <v>1</v>
      </c>
    </row>
    <row r="108" spans="1:10" ht="27.6" thickBot="1" x14ac:dyDescent="0.35">
      <c r="A108" s="6" t="s">
        <v>154</v>
      </c>
      <c r="B108" s="5">
        <v>45389</v>
      </c>
      <c r="C108" s="4" t="s">
        <v>44</v>
      </c>
      <c r="D108" s="4" t="s">
        <v>70</v>
      </c>
      <c r="E108" s="4" t="s">
        <v>65</v>
      </c>
      <c r="F108" s="4" t="s">
        <v>35</v>
      </c>
      <c r="G108" s="4" t="s">
        <v>61</v>
      </c>
      <c r="H108" s="4" t="s">
        <v>66</v>
      </c>
      <c r="I108" s="4" t="s">
        <v>37</v>
      </c>
      <c r="J108" s="7">
        <v>5</v>
      </c>
    </row>
    <row r="109" spans="1:10" ht="27.6" thickBot="1" x14ac:dyDescent="0.35">
      <c r="A109" s="6" t="s">
        <v>155</v>
      </c>
      <c r="B109" s="5">
        <v>45456</v>
      </c>
      <c r="C109" s="4" t="s">
        <v>79</v>
      </c>
      <c r="D109" s="4" t="s">
        <v>50</v>
      </c>
      <c r="E109" s="4" t="s">
        <v>39</v>
      </c>
      <c r="F109" s="4" t="s">
        <v>29</v>
      </c>
      <c r="G109" s="4" t="s">
        <v>36</v>
      </c>
      <c r="H109" s="4" t="s">
        <v>42</v>
      </c>
      <c r="I109" s="4" t="s">
        <v>37</v>
      </c>
      <c r="J109" s="7">
        <v>0</v>
      </c>
    </row>
    <row r="110" spans="1:10" ht="15" thickBot="1" x14ac:dyDescent="0.35">
      <c r="A110" s="6" t="s">
        <v>156</v>
      </c>
      <c r="B110" s="5">
        <v>45342</v>
      </c>
      <c r="C110" s="4" t="s">
        <v>34</v>
      </c>
      <c r="D110" s="4" t="s">
        <v>45</v>
      </c>
      <c r="E110" s="4" t="s">
        <v>39</v>
      </c>
      <c r="F110" s="4" t="s">
        <v>29</v>
      </c>
      <c r="G110" s="4" t="s">
        <v>36</v>
      </c>
      <c r="H110" s="4" t="s">
        <v>55</v>
      </c>
      <c r="I110" s="4" t="s">
        <v>56</v>
      </c>
      <c r="J110" s="7">
        <v>3</v>
      </c>
    </row>
    <row r="111" spans="1:10" ht="27.6" thickBot="1" x14ac:dyDescent="0.35">
      <c r="A111" s="6" t="s">
        <v>157</v>
      </c>
      <c r="B111" s="5">
        <v>45313</v>
      </c>
      <c r="C111" s="4" t="s">
        <v>49</v>
      </c>
      <c r="D111" s="4" t="s">
        <v>50</v>
      </c>
      <c r="E111" s="4" t="s">
        <v>53</v>
      </c>
      <c r="F111" s="4" t="s">
        <v>29</v>
      </c>
      <c r="G111" s="4" t="s">
        <v>41</v>
      </c>
      <c r="H111" s="4" t="s">
        <v>55</v>
      </c>
      <c r="I111" s="4" t="s">
        <v>56</v>
      </c>
      <c r="J111" s="7">
        <v>5</v>
      </c>
    </row>
    <row r="112" spans="1:10" ht="15" thickBot="1" x14ac:dyDescent="0.35">
      <c r="A112" s="6" t="s">
        <v>158</v>
      </c>
      <c r="B112" s="5">
        <v>45403</v>
      </c>
      <c r="C112" s="4" t="s">
        <v>58</v>
      </c>
      <c r="D112" s="4" t="s">
        <v>68</v>
      </c>
      <c r="E112" s="4" t="s">
        <v>46</v>
      </c>
      <c r="F112" s="4" t="s">
        <v>40</v>
      </c>
      <c r="G112" s="4" t="s">
        <v>36</v>
      </c>
      <c r="H112" s="4" t="s">
        <v>42</v>
      </c>
      <c r="I112" s="4" t="s">
        <v>56</v>
      </c>
      <c r="J112" s="7">
        <v>3</v>
      </c>
    </row>
    <row r="113" spans="1:18" ht="27.6" thickBot="1" x14ac:dyDescent="0.35">
      <c r="A113" s="6" t="s">
        <v>159</v>
      </c>
      <c r="B113" s="5">
        <v>45390</v>
      </c>
      <c r="C113" s="4" t="s">
        <v>58</v>
      </c>
      <c r="D113" s="4" t="s">
        <v>70</v>
      </c>
      <c r="E113" s="4" t="s">
        <v>65</v>
      </c>
      <c r="F113" s="4" t="s">
        <v>40</v>
      </c>
      <c r="G113" s="4" t="s">
        <v>61</v>
      </c>
      <c r="H113" s="4" t="s">
        <v>66</v>
      </c>
      <c r="I113" s="4" t="s">
        <v>59</v>
      </c>
      <c r="J113" s="7">
        <v>0</v>
      </c>
    </row>
    <row r="114" spans="1:18" ht="15" thickBot="1" x14ac:dyDescent="0.35">
      <c r="A114" s="6" t="s">
        <v>160</v>
      </c>
      <c r="B114" s="5">
        <v>45464</v>
      </c>
      <c r="C114" s="4" t="s">
        <v>79</v>
      </c>
      <c r="D114" s="4" t="s">
        <v>27</v>
      </c>
      <c r="E114" s="4" t="s">
        <v>28</v>
      </c>
      <c r="F114" s="4" t="s">
        <v>29</v>
      </c>
      <c r="G114" s="4" t="s">
        <v>61</v>
      </c>
      <c r="H114" s="4" t="s">
        <v>55</v>
      </c>
      <c r="I114" s="4" t="s">
        <v>56</v>
      </c>
      <c r="J114" s="7">
        <v>4</v>
      </c>
    </row>
    <row r="115" spans="1:18" ht="27" x14ac:dyDescent="0.3">
      <c r="A115" s="11" t="s">
        <v>161</v>
      </c>
      <c r="B115" s="12">
        <v>45317</v>
      </c>
      <c r="C115" s="13" t="s">
        <v>64</v>
      </c>
      <c r="D115" s="13" t="s">
        <v>70</v>
      </c>
      <c r="E115" s="13" t="s">
        <v>65</v>
      </c>
      <c r="F115" s="13" t="s">
        <v>40</v>
      </c>
      <c r="G115" s="13" t="s">
        <v>36</v>
      </c>
      <c r="H115" s="13" t="s">
        <v>66</v>
      </c>
      <c r="I115" s="13" t="s">
        <v>32</v>
      </c>
      <c r="J115" s="14">
        <v>2</v>
      </c>
    </row>
    <row r="117" spans="1:18" x14ac:dyDescent="0.3">
      <c r="A117" s="3" t="s">
        <v>166</v>
      </c>
    </row>
    <row r="118" spans="1:18" x14ac:dyDescent="0.3">
      <c r="A118" s="3" t="s">
        <v>14</v>
      </c>
    </row>
    <row r="119" spans="1:18" x14ac:dyDescent="0.3">
      <c r="A119" t="s">
        <v>167</v>
      </c>
      <c r="B119" t="s">
        <v>168</v>
      </c>
    </row>
    <row r="120" spans="1:18" x14ac:dyDescent="0.3">
      <c r="A120" t="s">
        <v>173</v>
      </c>
      <c r="B120" s="23">
        <v>80</v>
      </c>
      <c r="M120" s="16"/>
      <c r="N120" s="17"/>
      <c r="O120" s="17"/>
      <c r="P120" s="17"/>
      <c r="Q120" s="17"/>
      <c r="R120" s="17"/>
    </row>
    <row r="121" spans="1:18" x14ac:dyDescent="0.3">
      <c r="A121" t="s">
        <v>174</v>
      </c>
      <c r="B121" s="23">
        <v>60</v>
      </c>
      <c r="M121" s="16"/>
      <c r="N121" s="17"/>
      <c r="O121" s="17"/>
      <c r="P121" s="17"/>
      <c r="Q121" s="17"/>
      <c r="R121" s="17"/>
    </row>
    <row r="122" spans="1:18" x14ac:dyDescent="0.3">
      <c r="A122" t="s">
        <v>175</v>
      </c>
      <c r="B122" s="22">
        <v>8</v>
      </c>
      <c r="M122" s="16"/>
      <c r="N122" s="17"/>
      <c r="O122" s="17"/>
      <c r="P122" s="17"/>
      <c r="Q122" s="17"/>
      <c r="R122" s="17"/>
    </row>
    <row r="123" spans="1:18" x14ac:dyDescent="0.3">
      <c r="A123" t="s">
        <v>176</v>
      </c>
      <c r="B123">
        <v>20</v>
      </c>
      <c r="M123" s="16"/>
      <c r="N123" s="17"/>
      <c r="O123" s="17"/>
      <c r="P123" s="17"/>
      <c r="Q123" s="17"/>
      <c r="R123" s="17"/>
    </row>
    <row r="124" spans="1:18" x14ac:dyDescent="0.3">
      <c r="A124" t="s">
        <v>177</v>
      </c>
      <c r="B124" s="22">
        <v>5</v>
      </c>
      <c r="M124" s="16"/>
      <c r="N124" s="17"/>
      <c r="O124" s="17"/>
      <c r="P124" s="17"/>
      <c r="Q124" s="17"/>
      <c r="R124" s="17"/>
    </row>
    <row r="125" spans="1:18" x14ac:dyDescent="0.3">
      <c r="A125" t="s">
        <v>178</v>
      </c>
      <c r="B125">
        <v>50</v>
      </c>
      <c r="M125" s="16"/>
      <c r="N125" s="17"/>
      <c r="O125" s="17"/>
      <c r="P125" s="17"/>
      <c r="Q125" s="17"/>
      <c r="R125" s="17"/>
    </row>
    <row r="126" spans="1:18" x14ac:dyDescent="0.3">
      <c r="A126" t="s">
        <v>179</v>
      </c>
      <c r="B126" s="23">
        <v>70</v>
      </c>
      <c r="M126" s="16"/>
      <c r="N126" s="17"/>
      <c r="O126" s="17"/>
      <c r="P126" s="17"/>
      <c r="Q126" s="17"/>
      <c r="R126" s="17"/>
    </row>
    <row r="127" spans="1:18" x14ac:dyDescent="0.3">
      <c r="A127" t="s">
        <v>180</v>
      </c>
      <c r="B127">
        <v>30</v>
      </c>
      <c r="M127" s="16"/>
      <c r="N127" s="17"/>
      <c r="O127" s="17"/>
      <c r="P127" s="17"/>
      <c r="Q127" s="17"/>
      <c r="R127" s="17"/>
    </row>
    <row r="128" spans="1:18" x14ac:dyDescent="0.3">
      <c r="A128" t="s">
        <v>181</v>
      </c>
      <c r="B128">
        <v>20</v>
      </c>
      <c r="M128" s="16"/>
      <c r="N128" s="17"/>
      <c r="O128" s="17"/>
      <c r="P128" s="17"/>
      <c r="Q128" s="17"/>
      <c r="R128" s="17"/>
    </row>
    <row r="129" spans="1:12" x14ac:dyDescent="0.3">
      <c r="A129" t="s">
        <v>182</v>
      </c>
      <c r="B129" s="22">
        <v>9</v>
      </c>
    </row>
    <row r="131" spans="1:12" x14ac:dyDescent="0.3">
      <c r="A131" s="3" t="s">
        <v>183</v>
      </c>
    </row>
    <row r="132" spans="1:12" x14ac:dyDescent="0.3">
      <c r="A132" s="3" t="s">
        <v>14</v>
      </c>
    </row>
    <row r="133" spans="1:12" ht="15" thickBot="1" x14ac:dyDescent="0.35">
      <c r="A133" s="27" t="s">
        <v>184</v>
      </c>
      <c r="B133" s="28" t="s">
        <v>16</v>
      </c>
      <c r="C133" s="28" t="s">
        <v>185</v>
      </c>
      <c r="D133" s="28" t="s">
        <v>186</v>
      </c>
      <c r="E133" s="28" t="s">
        <v>187</v>
      </c>
      <c r="F133" s="28" t="s">
        <v>188</v>
      </c>
      <c r="G133" s="28" t="s">
        <v>189</v>
      </c>
      <c r="H133" s="28" t="s">
        <v>190</v>
      </c>
      <c r="I133" s="28" t="s">
        <v>191</v>
      </c>
      <c r="J133" s="28" t="s">
        <v>192</v>
      </c>
      <c r="K133" s="28" t="s">
        <v>193</v>
      </c>
      <c r="L133" s="28" t="s">
        <v>194</v>
      </c>
    </row>
    <row r="134" spans="1:12" ht="29.4" thickBot="1" x14ac:dyDescent="0.35">
      <c r="A134" s="24">
        <v>1001</v>
      </c>
      <c r="B134" s="25">
        <v>45658</v>
      </c>
      <c r="C134" s="26" t="s">
        <v>195</v>
      </c>
      <c r="D134" s="26" t="s">
        <v>196</v>
      </c>
      <c r="E134" s="26" t="s">
        <v>197</v>
      </c>
      <c r="F134" s="26" t="s">
        <v>198</v>
      </c>
      <c r="G134" s="24">
        <v>10</v>
      </c>
      <c r="H134" s="24">
        <v>999</v>
      </c>
      <c r="I134" s="24">
        <v>999</v>
      </c>
      <c r="J134" s="24">
        <v>998001</v>
      </c>
      <c r="K134" s="24">
        <v>28</v>
      </c>
      <c r="L134" s="26" t="s">
        <v>199</v>
      </c>
    </row>
    <row r="135" spans="1:12" ht="43.8" thickBot="1" x14ac:dyDescent="0.35">
      <c r="A135" s="24">
        <v>1003</v>
      </c>
      <c r="B135" s="25">
        <v>45660</v>
      </c>
      <c r="C135" s="26" t="s">
        <v>200</v>
      </c>
      <c r="D135" s="26" t="s">
        <v>201</v>
      </c>
      <c r="E135" s="26" t="s">
        <v>202</v>
      </c>
      <c r="F135" s="26" t="s">
        <v>203</v>
      </c>
      <c r="G135" s="24">
        <v>3</v>
      </c>
      <c r="H135" s="24">
        <v>1999</v>
      </c>
      <c r="I135" s="24">
        <v>5997</v>
      </c>
      <c r="J135" s="24">
        <v>25</v>
      </c>
      <c r="K135" s="24">
        <v>40</v>
      </c>
      <c r="L135" s="26" t="s">
        <v>204</v>
      </c>
    </row>
    <row r="136" spans="1:12" ht="58.2" thickBot="1" x14ac:dyDescent="0.35">
      <c r="A136" s="24">
        <v>1004</v>
      </c>
      <c r="B136" s="25">
        <v>45661</v>
      </c>
      <c r="C136" s="26" t="s">
        <v>205</v>
      </c>
      <c r="D136" s="26" t="s">
        <v>206</v>
      </c>
      <c r="E136" s="26" t="s">
        <v>197</v>
      </c>
      <c r="F136" s="26" t="s">
        <v>207</v>
      </c>
      <c r="G136" s="24">
        <v>6</v>
      </c>
      <c r="H136" s="24">
        <v>2499</v>
      </c>
      <c r="I136" s="24">
        <v>9996</v>
      </c>
      <c r="J136" s="24">
        <v>30</v>
      </c>
      <c r="K136" s="24">
        <v>24</v>
      </c>
      <c r="L136" s="26" t="s">
        <v>208</v>
      </c>
    </row>
    <row r="137" spans="1:12" ht="58.2" thickBot="1" x14ac:dyDescent="0.35">
      <c r="A137" s="24">
        <v>1005</v>
      </c>
      <c r="B137" s="25">
        <v>45662</v>
      </c>
      <c r="C137" s="26" t="s">
        <v>209</v>
      </c>
      <c r="D137" s="26" t="s">
        <v>196</v>
      </c>
      <c r="E137" s="26" t="s">
        <v>210</v>
      </c>
      <c r="F137" s="26" t="s">
        <v>211</v>
      </c>
      <c r="G137" s="24">
        <v>8</v>
      </c>
      <c r="H137" s="24">
        <v>2999</v>
      </c>
      <c r="I137" s="24">
        <v>14995</v>
      </c>
      <c r="J137" s="24">
        <v>18</v>
      </c>
      <c r="K137" s="24">
        <v>31</v>
      </c>
      <c r="L137" s="26" t="s">
        <v>199</v>
      </c>
    </row>
    <row r="138" spans="1:12" ht="29.4" thickBot="1" x14ac:dyDescent="0.35">
      <c r="A138" s="24">
        <v>1006</v>
      </c>
      <c r="B138" s="25">
        <v>45663</v>
      </c>
      <c r="C138" s="26" t="s">
        <v>212</v>
      </c>
      <c r="D138" s="26" t="s">
        <v>213</v>
      </c>
      <c r="E138" s="26" t="s">
        <v>202</v>
      </c>
      <c r="F138" s="26" t="s">
        <v>169</v>
      </c>
      <c r="G138" s="24">
        <v>3</v>
      </c>
      <c r="H138" s="24">
        <v>999</v>
      </c>
      <c r="I138" s="24">
        <v>4995</v>
      </c>
      <c r="J138" s="24">
        <v>15</v>
      </c>
      <c r="K138" s="24">
        <v>29</v>
      </c>
      <c r="L138" s="26" t="s">
        <v>214</v>
      </c>
    </row>
    <row r="139" spans="1:12" ht="43.8" thickBot="1" x14ac:dyDescent="0.35">
      <c r="A139" s="24">
        <v>1007</v>
      </c>
      <c r="B139" s="25">
        <v>45664</v>
      </c>
      <c r="C139" s="26" t="s">
        <v>215</v>
      </c>
      <c r="D139" s="26" t="s">
        <v>201</v>
      </c>
      <c r="E139" s="26" t="s">
        <v>197</v>
      </c>
      <c r="F139" s="26" t="s">
        <v>216</v>
      </c>
      <c r="G139" s="24">
        <v>9</v>
      </c>
      <c r="H139" s="24">
        <v>1499</v>
      </c>
      <c r="I139" s="24">
        <v>2998</v>
      </c>
      <c r="J139" s="24">
        <v>20</v>
      </c>
      <c r="K139" s="24">
        <v>45</v>
      </c>
      <c r="L139" s="26" t="s">
        <v>204</v>
      </c>
    </row>
    <row r="140" spans="1:12" ht="43.8" thickBot="1" x14ac:dyDescent="0.35">
      <c r="A140" s="24">
        <v>1008</v>
      </c>
      <c r="B140" s="25">
        <v>45665</v>
      </c>
      <c r="C140" s="26" t="s">
        <v>217</v>
      </c>
      <c r="D140" s="26" t="s">
        <v>206</v>
      </c>
      <c r="E140" s="26" t="s">
        <v>210</v>
      </c>
      <c r="F140" s="26" t="s">
        <v>218</v>
      </c>
      <c r="G140" s="24">
        <v>5</v>
      </c>
      <c r="H140" s="24">
        <v>1999</v>
      </c>
      <c r="I140" s="24">
        <v>5997</v>
      </c>
      <c r="J140" s="24">
        <v>25</v>
      </c>
      <c r="K140" s="24">
        <v>32</v>
      </c>
      <c r="L140" s="26" t="s">
        <v>208</v>
      </c>
    </row>
    <row r="141" spans="1:12" ht="43.8" thickBot="1" x14ac:dyDescent="0.35">
      <c r="A141" s="24">
        <v>1009</v>
      </c>
      <c r="B141" s="25">
        <v>45666</v>
      </c>
      <c r="C141" s="26" t="s">
        <v>219</v>
      </c>
      <c r="D141" s="26" t="s">
        <v>196</v>
      </c>
      <c r="E141" s="26" t="s">
        <v>202</v>
      </c>
      <c r="F141" s="26" t="s">
        <v>220</v>
      </c>
      <c r="G141" s="24">
        <v>2</v>
      </c>
      <c r="H141" s="24">
        <v>2499</v>
      </c>
      <c r="I141" s="24">
        <v>19992</v>
      </c>
      <c r="J141" s="24">
        <v>30</v>
      </c>
      <c r="K141" s="24">
        <v>27</v>
      </c>
      <c r="L141" s="26" t="s">
        <v>199</v>
      </c>
    </row>
    <row r="142" spans="1:12" ht="58.2" thickBot="1" x14ac:dyDescent="0.35">
      <c r="A142" s="24">
        <v>10010</v>
      </c>
      <c r="B142" s="25">
        <v>45667</v>
      </c>
      <c r="C142" s="26" t="s">
        <v>221</v>
      </c>
      <c r="D142" s="26" t="s">
        <v>213</v>
      </c>
      <c r="E142" s="26" t="s">
        <v>197</v>
      </c>
      <c r="F142" s="26" t="s">
        <v>222</v>
      </c>
      <c r="G142" s="24">
        <v>7</v>
      </c>
      <c r="H142" s="24">
        <v>2999</v>
      </c>
      <c r="I142" s="24">
        <v>14995</v>
      </c>
      <c r="J142" s="24">
        <v>18</v>
      </c>
      <c r="K142" s="24">
        <v>39</v>
      </c>
      <c r="L142" s="26" t="s">
        <v>214</v>
      </c>
    </row>
    <row r="143" spans="1:12" ht="58.2" thickBot="1" x14ac:dyDescent="0.35">
      <c r="A143" s="24">
        <v>10011</v>
      </c>
      <c r="B143" s="25">
        <v>45668</v>
      </c>
      <c r="C143" s="26" t="s">
        <v>223</v>
      </c>
      <c r="D143" s="26" t="s">
        <v>201</v>
      </c>
      <c r="E143" s="26" t="s">
        <v>210</v>
      </c>
      <c r="F143" s="26" t="s">
        <v>224</v>
      </c>
      <c r="G143" s="24">
        <v>10</v>
      </c>
      <c r="H143" s="24">
        <v>999</v>
      </c>
      <c r="I143" s="24">
        <v>999</v>
      </c>
      <c r="J143" s="24">
        <v>15</v>
      </c>
      <c r="K143" s="24">
        <v>28</v>
      </c>
      <c r="L143" s="26" t="s">
        <v>204</v>
      </c>
    </row>
    <row r="144" spans="1:12" ht="58.2" thickBot="1" x14ac:dyDescent="0.35">
      <c r="A144" s="24">
        <v>10012</v>
      </c>
      <c r="B144" s="25">
        <v>45669</v>
      </c>
      <c r="C144" s="26" t="s">
        <v>225</v>
      </c>
      <c r="D144" s="26" t="s">
        <v>206</v>
      </c>
      <c r="E144" s="26" t="s">
        <v>202</v>
      </c>
      <c r="F144" s="26" t="s">
        <v>226</v>
      </c>
      <c r="G144" s="24">
        <v>3</v>
      </c>
      <c r="H144" s="24">
        <v>1499</v>
      </c>
      <c r="I144" s="24">
        <v>11992</v>
      </c>
      <c r="J144" s="24">
        <v>20</v>
      </c>
      <c r="K144" s="24">
        <v>35</v>
      </c>
      <c r="L144" s="26" t="s">
        <v>208</v>
      </c>
    </row>
    <row r="145" spans="1:12" ht="43.8" thickBot="1" x14ac:dyDescent="0.35">
      <c r="A145" s="24">
        <v>10013</v>
      </c>
      <c r="B145" s="25">
        <v>45670</v>
      </c>
      <c r="C145" s="26" t="s">
        <v>227</v>
      </c>
      <c r="D145" s="26" t="s">
        <v>196</v>
      </c>
      <c r="E145" s="26" t="s">
        <v>197</v>
      </c>
      <c r="F145" s="26" t="s">
        <v>228</v>
      </c>
      <c r="G145" s="24">
        <v>3</v>
      </c>
      <c r="H145" s="24">
        <v>1999</v>
      </c>
      <c r="I145" s="24">
        <v>5997</v>
      </c>
      <c r="J145" s="24">
        <v>25</v>
      </c>
      <c r="K145" s="24">
        <v>40</v>
      </c>
      <c r="L145" s="26" t="s">
        <v>199</v>
      </c>
    </row>
    <row r="146" spans="1:12" ht="58.2" thickBot="1" x14ac:dyDescent="0.35">
      <c r="A146" s="24">
        <v>10014</v>
      </c>
      <c r="B146" s="25">
        <v>45671</v>
      </c>
      <c r="C146" s="26" t="s">
        <v>229</v>
      </c>
      <c r="D146" s="26" t="s">
        <v>213</v>
      </c>
      <c r="E146" s="26" t="s">
        <v>210</v>
      </c>
      <c r="F146" s="26" t="s">
        <v>230</v>
      </c>
      <c r="G146" s="24">
        <v>6</v>
      </c>
      <c r="H146" s="24">
        <v>2499</v>
      </c>
      <c r="I146" s="24">
        <v>9996</v>
      </c>
      <c r="J146" s="24">
        <v>30</v>
      </c>
      <c r="K146" s="24">
        <v>24</v>
      </c>
      <c r="L146" s="26" t="s">
        <v>214</v>
      </c>
    </row>
    <row r="147" spans="1:12" ht="58.2" thickBot="1" x14ac:dyDescent="0.35">
      <c r="A147" s="24">
        <v>10015</v>
      </c>
      <c r="B147" s="25">
        <v>45672</v>
      </c>
      <c r="C147" s="26" t="s">
        <v>231</v>
      </c>
      <c r="D147" s="26" t="s">
        <v>201</v>
      </c>
      <c r="E147" s="26" t="s">
        <v>202</v>
      </c>
      <c r="F147" s="26" t="s">
        <v>232</v>
      </c>
      <c r="G147" s="24">
        <v>6</v>
      </c>
      <c r="H147" s="24">
        <v>2999</v>
      </c>
      <c r="I147" s="24">
        <v>14995</v>
      </c>
      <c r="J147" s="24">
        <v>18</v>
      </c>
      <c r="K147" s="24">
        <v>31</v>
      </c>
      <c r="L147" s="26" t="s">
        <v>204</v>
      </c>
    </row>
    <row r="148" spans="1:12" ht="58.2" thickBot="1" x14ac:dyDescent="0.35">
      <c r="A148" s="24">
        <v>10016</v>
      </c>
      <c r="B148" s="25">
        <v>45673</v>
      </c>
      <c r="C148" s="26" t="s">
        <v>233</v>
      </c>
      <c r="D148" s="26" t="s">
        <v>206</v>
      </c>
      <c r="E148" s="26" t="s">
        <v>197</v>
      </c>
      <c r="F148" s="26" t="s">
        <v>234</v>
      </c>
      <c r="G148" s="24">
        <v>10</v>
      </c>
      <c r="H148" s="24">
        <v>999</v>
      </c>
      <c r="I148" s="24">
        <v>5994</v>
      </c>
      <c r="J148" s="24">
        <v>15</v>
      </c>
      <c r="K148" s="24">
        <v>29</v>
      </c>
      <c r="L148" s="26" t="s">
        <v>208</v>
      </c>
    </row>
    <row r="149" spans="1:12" ht="43.8" thickBot="1" x14ac:dyDescent="0.35">
      <c r="A149" s="24">
        <v>10017</v>
      </c>
      <c r="B149" s="25">
        <v>45674</v>
      </c>
      <c r="C149" s="26" t="s">
        <v>235</v>
      </c>
      <c r="D149" s="26" t="s">
        <v>196</v>
      </c>
      <c r="E149" s="26" t="s">
        <v>210</v>
      </c>
      <c r="F149" s="26" t="s">
        <v>236</v>
      </c>
      <c r="G149" s="24">
        <v>4</v>
      </c>
      <c r="H149" s="24">
        <v>1499</v>
      </c>
      <c r="I149" s="24">
        <v>2998</v>
      </c>
      <c r="J149" s="24">
        <v>20</v>
      </c>
      <c r="K149" s="24">
        <v>45</v>
      </c>
      <c r="L149" s="26" t="s">
        <v>199</v>
      </c>
    </row>
    <row r="150" spans="1:12" ht="29.4" thickBot="1" x14ac:dyDescent="0.35">
      <c r="A150" s="24">
        <v>10018</v>
      </c>
      <c r="B150" s="25">
        <v>45675</v>
      </c>
      <c r="C150" s="26" t="s">
        <v>237</v>
      </c>
      <c r="D150" s="26" t="s">
        <v>213</v>
      </c>
      <c r="E150" s="26" t="s">
        <v>202</v>
      </c>
      <c r="F150" s="26" t="s">
        <v>238</v>
      </c>
      <c r="G150" s="24">
        <v>5</v>
      </c>
      <c r="H150" s="24">
        <v>1999</v>
      </c>
      <c r="I150" s="24">
        <v>13993</v>
      </c>
      <c r="J150" s="24">
        <v>25</v>
      </c>
      <c r="K150" s="24">
        <v>32</v>
      </c>
      <c r="L150" s="26" t="s">
        <v>214</v>
      </c>
    </row>
    <row r="151" spans="1:12" ht="29.4" thickBot="1" x14ac:dyDescent="0.35">
      <c r="A151" s="24">
        <v>10019</v>
      </c>
      <c r="B151" s="25">
        <v>45676</v>
      </c>
      <c r="C151" s="26" t="s">
        <v>239</v>
      </c>
      <c r="D151" s="26" t="s">
        <v>201</v>
      </c>
      <c r="E151" s="26" t="s">
        <v>197</v>
      </c>
      <c r="F151" s="26" t="s">
        <v>240</v>
      </c>
      <c r="G151" s="24">
        <v>7</v>
      </c>
      <c r="H151" s="24">
        <v>2499</v>
      </c>
      <c r="I151" s="24">
        <v>9996</v>
      </c>
      <c r="J151" s="24">
        <v>30</v>
      </c>
      <c r="K151" s="24">
        <v>27</v>
      </c>
      <c r="L151" s="26" t="s">
        <v>204</v>
      </c>
    </row>
    <row r="152" spans="1:12" ht="43.8" thickBot="1" x14ac:dyDescent="0.35">
      <c r="A152" s="24">
        <v>10020</v>
      </c>
      <c r="B152" s="25">
        <v>45677</v>
      </c>
      <c r="C152" s="26" t="s">
        <v>241</v>
      </c>
      <c r="D152" s="26" t="s">
        <v>206</v>
      </c>
      <c r="E152" s="26" t="s">
        <v>210</v>
      </c>
      <c r="F152" s="26" t="s">
        <v>242</v>
      </c>
      <c r="G152" s="24">
        <v>6</v>
      </c>
      <c r="H152" s="24">
        <v>2999</v>
      </c>
      <c r="I152" s="24">
        <v>14995</v>
      </c>
      <c r="J152" s="24">
        <v>18</v>
      </c>
      <c r="K152" s="24">
        <v>39</v>
      </c>
      <c r="L152" s="26" t="s">
        <v>208</v>
      </c>
    </row>
    <row r="153" spans="1:12" ht="29.4" thickBot="1" x14ac:dyDescent="0.35">
      <c r="A153" s="24">
        <v>10021</v>
      </c>
      <c r="B153" s="25">
        <v>45678</v>
      </c>
      <c r="C153" s="26" t="s">
        <v>243</v>
      </c>
      <c r="D153" s="26" t="s">
        <v>196</v>
      </c>
      <c r="E153" s="26" t="s">
        <v>202</v>
      </c>
      <c r="F153" s="26" t="s">
        <v>244</v>
      </c>
      <c r="G153" s="24">
        <v>7</v>
      </c>
      <c r="H153" s="24">
        <v>999</v>
      </c>
      <c r="I153" s="24">
        <v>999</v>
      </c>
      <c r="J153" s="24">
        <v>15</v>
      </c>
      <c r="K153" s="24">
        <v>28</v>
      </c>
      <c r="L153" s="26" t="s">
        <v>199</v>
      </c>
    </row>
    <row r="154" spans="1:12" ht="58.2" thickBot="1" x14ac:dyDescent="0.35">
      <c r="A154" s="24">
        <v>10022</v>
      </c>
      <c r="B154" s="25">
        <v>45679</v>
      </c>
      <c r="C154" s="26" t="s">
        <v>245</v>
      </c>
      <c r="D154" s="26" t="s">
        <v>213</v>
      </c>
      <c r="E154" s="26" t="s">
        <v>197</v>
      </c>
      <c r="F154" s="26" t="s">
        <v>246</v>
      </c>
      <c r="G154" s="24">
        <v>3</v>
      </c>
      <c r="H154" s="24">
        <v>1499</v>
      </c>
      <c r="I154" s="24">
        <v>17988</v>
      </c>
      <c r="J154" s="24">
        <v>20</v>
      </c>
      <c r="K154" s="24">
        <v>35</v>
      </c>
      <c r="L154" s="26" t="s">
        <v>214</v>
      </c>
    </row>
    <row r="155" spans="1:12" ht="43.8" thickBot="1" x14ac:dyDescent="0.35">
      <c r="A155" s="24">
        <v>10023</v>
      </c>
      <c r="B155" s="25">
        <v>45680</v>
      </c>
      <c r="C155" s="26" t="s">
        <v>247</v>
      </c>
      <c r="D155" s="26" t="s">
        <v>201</v>
      </c>
      <c r="E155" s="26" t="s">
        <v>210</v>
      </c>
      <c r="F155" s="26" t="s">
        <v>248</v>
      </c>
      <c r="G155" s="24">
        <v>4</v>
      </c>
      <c r="H155" s="24">
        <v>1999</v>
      </c>
      <c r="I155" s="24">
        <v>5997</v>
      </c>
      <c r="J155" s="24">
        <v>25</v>
      </c>
      <c r="K155" s="24">
        <v>40</v>
      </c>
      <c r="L155" s="26" t="s">
        <v>204</v>
      </c>
    </row>
    <row r="156" spans="1:12" ht="29.4" thickBot="1" x14ac:dyDescent="0.35">
      <c r="A156" s="24">
        <v>10024</v>
      </c>
      <c r="B156" s="25">
        <v>45681</v>
      </c>
      <c r="C156" s="26" t="s">
        <v>249</v>
      </c>
      <c r="D156" s="26" t="s">
        <v>206</v>
      </c>
      <c r="E156" s="26" t="s">
        <v>202</v>
      </c>
      <c r="F156" s="26" t="s">
        <v>250</v>
      </c>
      <c r="G156" s="24">
        <v>10</v>
      </c>
      <c r="H156" s="24">
        <v>2499</v>
      </c>
      <c r="I156" s="24">
        <v>9996</v>
      </c>
      <c r="J156" s="24">
        <v>30</v>
      </c>
      <c r="K156" s="24">
        <v>24</v>
      </c>
      <c r="L156" s="26" t="s">
        <v>208</v>
      </c>
    </row>
    <row r="157" spans="1:12" ht="43.8" thickBot="1" x14ac:dyDescent="0.35">
      <c r="A157" s="24">
        <v>10025</v>
      </c>
      <c r="B157" s="25">
        <v>45682</v>
      </c>
      <c r="C157" s="26" t="s">
        <v>251</v>
      </c>
      <c r="D157" s="26" t="s">
        <v>196</v>
      </c>
      <c r="E157" s="26" t="s">
        <v>197</v>
      </c>
      <c r="F157" s="26" t="s">
        <v>252</v>
      </c>
      <c r="G157" s="24">
        <v>8</v>
      </c>
      <c r="H157" s="24">
        <v>2999</v>
      </c>
      <c r="I157" s="24">
        <v>14995</v>
      </c>
      <c r="J157" s="24">
        <v>18</v>
      </c>
      <c r="K157" s="24">
        <v>31</v>
      </c>
      <c r="L157" s="26" t="s">
        <v>199</v>
      </c>
    </row>
    <row r="158" spans="1:12" ht="43.8" thickBot="1" x14ac:dyDescent="0.35">
      <c r="A158" s="24">
        <v>10026</v>
      </c>
      <c r="B158" s="25">
        <v>45683</v>
      </c>
      <c r="C158" s="26" t="s">
        <v>253</v>
      </c>
      <c r="D158" s="26" t="s">
        <v>213</v>
      </c>
      <c r="E158" s="26" t="s">
        <v>210</v>
      </c>
      <c r="F158" s="26" t="s">
        <v>254</v>
      </c>
      <c r="G158" s="24">
        <v>4</v>
      </c>
      <c r="H158" s="24">
        <v>999</v>
      </c>
      <c r="I158" s="24">
        <v>2997</v>
      </c>
      <c r="J158" s="24">
        <v>15</v>
      </c>
      <c r="K158" s="24">
        <v>29</v>
      </c>
      <c r="L158" s="26" t="s">
        <v>214</v>
      </c>
    </row>
    <row r="159" spans="1:12" ht="43.8" thickBot="1" x14ac:dyDescent="0.35">
      <c r="A159" s="24">
        <v>10027</v>
      </c>
      <c r="B159" s="25">
        <v>45684</v>
      </c>
      <c r="C159" s="26" t="s">
        <v>255</v>
      </c>
      <c r="D159" s="26" t="s">
        <v>201</v>
      </c>
      <c r="E159" s="26" t="s">
        <v>202</v>
      </c>
      <c r="F159" s="26" t="s">
        <v>256</v>
      </c>
      <c r="G159" s="24">
        <v>3</v>
      </c>
      <c r="H159" s="24">
        <v>1499</v>
      </c>
      <c r="I159" s="24">
        <v>2998</v>
      </c>
      <c r="J159" s="24">
        <v>20</v>
      </c>
      <c r="K159" s="24">
        <v>45</v>
      </c>
      <c r="L159" s="26" t="s">
        <v>204</v>
      </c>
    </row>
    <row r="160" spans="1:12" ht="43.8" thickBot="1" x14ac:dyDescent="0.35">
      <c r="A160" s="24">
        <v>10028</v>
      </c>
      <c r="B160" s="25">
        <v>45685</v>
      </c>
      <c r="C160" s="26" t="s">
        <v>257</v>
      </c>
      <c r="D160" s="26" t="s">
        <v>206</v>
      </c>
      <c r="E160" s="26" t="s">
        <v>197</v>
      </c>
      <c r="F160" s="26" t="s">
        <v>258</v>
      </c>
      <c r="G160" s="24">
        <v>6</v>
      </c>
      <c r="H160" s="24">
        <v>1999</v>
      </c>
      <c r="I160" s="24">
        <v>5997</v>
      </c>
      <c r="J160" s="24">
        <v>25</v>
      </c>
      <c r="K160" s="24">
        <v>32</v>
      </c>
      <c r="L160" s="26" t="s">
        <v>208</v>
      </c>
    </row>
    <row r="161" spans="1:12" ht="58.2" thickBot="1" x14ac:dyDescent="0.35">
      <c r="A161" s="24">
        <v>10029</v>
      </c>
      <c r="B161" s="25">
        <v>45686</v>
      </c>
      <c r="C161" s="26" t="s">
        <v>259</v>
      </c>
      <c r="D161" s="26" t="s">
        <v>196</v>
      </c>
      <c r="E161" s="26" t="s">
        <v>210</v>
      </c>
      <c r="F161" s="26" t="s">
        <v>260</v>
      </c>
      <c r="G161" s="24">
        <v>7</v>
      </c>
      <c r="H161" s="24">
        <v>2499</v>
      </c>
      <c r="I161" s="24">
        <v>9996</v>
      </c>
      <c r="J161" s="24">
        <v>30</v>
      </c>
      <c r="K161" s="24">
        <v>27</v>
      </c>
      <c r="L161" s="26" t="s">
        <v>199</v>
      </c>
    </row>
    <row r="162" spans="1:12" ht="58.2" thickBot="1" x14ac:dyDescent="0.35">
      <c r="A162" s="24">
        <v>10030</v>
      </c>
      <c r="B162" s="25">
        <v>45687</v>
      </c>
      <c r="C162" s="26" t="s">
        <v>261</v>
      </c>
      <c r="D162" s="26" t="s">
        <v>213</v>
      </c>
      <c r="E162" s="26" t="s">
        <v>202</v>
      </c>
      <c r="F162" s="26" t="s">
        <v>262</v>
      </c>
      <c r="G162" s="24">
        <v>6</v>
      </c>
      <c r="H162" s="24">
        <v>2999</v>
      </c>
      <c r="I162" s="24">
        <v>26991</v>
      </c>
      <c r="J162" s="24">
        <v>18</v>
      </c>
      <c r="K162" s="24">
        <v>39</v>
      </c>
      <c r="L162" s="26" t="s">
        <v>214</v>
      </c>
    </row>
    <row r="163" spans="1:12" ht="58.2" thickBot="1" x14ac:dyDescent="0.35">
      <c r="A163" s="24">
        <v>10031</v>
      </c>
      <c r="B163" s="25">
        <v>45688</v>
      </c>
      <c r="C163" s="26" t="s">
        <v>263</v>
      </c>
      <c r="D163" s="26" t="s">
        <v>201</v>
      </c>
      <c r="E163" s="26" t="s">
        <v>197</v>
      </c>
      <c r="F163" s="26" t="s">
        <v>264</v>
      </c>
      <c r="G163" s="24">
        <v>3</v>
      </c>
      <c r="H163" s="24">
        <v>999</v>
      </c>
      <c r="I163" s="24">
        <v>999</v>
      </c>
      <c r="J163" s="24">
        <v>15</v>
      </c>
      <c r="K163" s="24">
        <v>28</v>
      </c>
      <c r="L163" s="26" t="s">
        <v>204</v>
      </c>
    </row>
    <row r="164" spans="1:12" ht="58.2" thickBot="1" x14ac:dyDescent="0.35">
      <c r="A164" s="24">
        <v>10032</v>
      </c>
      <c r="B164" s="25">
        <v>45689</v>
      </c>
      <c r="C164" s="26" t="s">
        <v>265</v>
      </c>
      <c r="D164" s="26" t="s">
        <v>206</v>
      </c>
      <c r="E164" s="26" t="s">
        <v>210</v>
      </c>
      <c r="F164" s="26" t="s">
        <v>266</v>
      </c>
      <c r="G164" s="24">
        <v>3</v>
      </c>
      <c r="H164" s="24">
        <v>1499</v>
      </c>
      <c r="I164" s="24">
        <v>2998</v>
      </c>
      <c r="J164" s="24">
        <v>20</v>
      </c>
      <c r="K164" s="24">
        <v>35</v>
      </c>
      <c r="L164" s="26" t="s">
        <v>208</v>
      </c>
    </row>
    <row r="165" spans="1:12" ht="29.4" thickBot="1" x14ac:dyDescent="0.35">
      <c r="A165" s="24">
        <v>10033</v>
      </c>
      <c r="B165" s="25">
        <v>45690</v>
      </c>
      <c r="C165" s="26" t="s">
        <v>267</v>
      </c>
      <c r="D165" s="26" t="s">
        <v>196</v>
      </c>
      <c r="E165" s="26" t="s">
        <v>202</v>
      </c>
      <c r="F165" s="26" t="s">
        <v>268</v>
      </c>
      <c r="G165" s="24">
        <v>7</v>
      </c>
      <c r="H165" s="24">
        <v>1999</v>
      </c>
      <c r="I165" s="24">
        <v>5997</v>
      </c>
      <c r="J165" s="24">
        <v>25</v>
      </c>
      <c r="K165" s="24">
        <v>40</v>
      </c>
      <c r="L165" s="26" t="s">
        <v>199</v>
      </c>
    </row>
    <row r="166" spans="1:12" ht="43.8" thickBot="1" x14ac:dyDescent="0.35">
      <c r="A166" s="24">
        <v>10034</v>
      </c>
      <c r="B166" s="25">
        <v>45691</v>
      </c>
      <c r="C166" s="26" t="s">
        <v>269</v>
      </c>
      <c r="D166" s="26" t="s">
        <v>213</v>
      </c>
      <c r="E166" s="26" t="s">
        <v>197</v>
      </c>
      <c r="F166" s="26" t="s">
        <v>270</v>
      </c>
      <c r="G166" s="24">
        <v>10</v>
      </c>
      <c r="H166" s="24">
        <v>2499</v>
      </c>
      <c r="I166" s="24">
        <v>9996</v>
      </c>
      <c r="J166" s="24">
        <v>30</v>
      </c>
      <c r="K166" s="24">
        <v>24</v>
      </c>
      <c r="L166" s="26" t="s">
        <v>214</v>
      </c>
    </row>
    <row r="167" spans="1:12" ht="43.8" thickBot="1" x14ac:dyDescent="0.35">
      <c r="A167" s="24">
        <v>10035</v>
      </c>
      <c r="B167" s="25">
        <v>45692</v>
      </c>
      <c r="C167" s="26" t="s">
        <v>271</v>
      </c>
      <c r="D167" s="26" t="s">
        <v>201</v>
      </c>
      <c r="E167" s="26" t="s">
        <v>210</v>
      </c>
      <c r="F167" s="26" t="s">
        <v>172</v>
      </c>
      <c r="G167" s="24">
        <v>2</v>
      </c>
      <c r="H167" s="24">
        <v>2999</v>
      </c>
      <c r="I167" s="24">
        <v>14995</v>
      </c>
      <c r="J167" s="24">
        <v>18</v>
      </c>
      <c r="K167" s="24">
        <v>31</v>
      </c>
      <c r="L167" s="26" t="s">
        <v>204</v>
      </c>
    </row>
    <row r="168" spans="1:12" ht="58.2" thickBot="1" x14ac:dyDescent="0.35">
      <c r="A168" s="24">
        <v>10036</v>
      </c>
      <c r="B168" s="25">
        <v>45693</v>
      </c>
      <c r="C168" s="26" t="s">
        <v>272</v>
      </c>
      <c r="D168" s="26" t="s">
        <v>206</v>
      </c>
      <c r="E168" s="26" t="s">
        <v>202</v>
      </c>
      <c r="F168" s="26" t="s">
        <v>273</v>
      </c>
      <c r="G168" s="24">
        <v>6</v>
      </c>
      <c r="H168" s="24">
        <v>999</v>
      </c>
      <c r="I168" s="24">
        <v>999</v>
      </c>
      <c r="J168" s="24">
        <v>15</v>
      </c>
      <c r="K168" s="24">
        <v>29</v>
      </c>
      <c r="L168" s="26" t="s">
        <v>208</v>
      </c>
    </row>
    <row r="169" spans="1:12" ht="29.4" thickBot="1" x14ac:dyDescent="0.35">
      <c r="A169" s="24">
        <v>10037</v>
      </c>
      <c r="B169" s="25">
        <v>45694</v>
      </c>
      <c r="C169" s="26" t="s">
        <v>274</v>
      </c>
      <c r="D169" s="26" t="s">
        <v>196</v>
      </c>
      <c r="E169" s="26" t="s">
        <v>197</v>
      </c>
      <c r="F169" s="26" t="s">
        <v>275</v>
      </c>
      <c r="G169" s="24">
        <v>7</v>
      </c>
      <c r="H169" s="24">
        <v>1499</v>
      </c>
      <c r="I169" s="24">
        <v>2998</v>
      </c>
      <c r="J169" s="24">
        <v>20</v>
      </c>
      <c r="K169" s="24">
        <v>45</v>
      </c>
      <c r="L169" s="26" t="s">
        <v>199</v>
      </c>
    </row>
    <row r="170" spans="1:12" ht="43.8" thickBot="1" x14ac:dyDescent="0.35">
      <c r="A170" s="24">
        <v>10038</v>
      </c>
      <c r="B170" s="25">
        <v>45695</v>
      </c>
      <c r="C170" s="26" t="s">
        <v>276</v>
      </c>
      <c r="D170" s="26" t="s">
        <v>213</v>
      </c>
      <c r="E170" s="26" t="s">
        <v>210</v>
      </c>
      <c r="F170" s="26" t="s">
        <v>277</v>
      </c>
      <c r="G170" s="24">
        <v>10</v>
      </c>
      <c r="H170" s="24">
        <v>1999</v>
      </c>
      <c r="I170" s="24">
        <v>3998</v>
      </c>
      <c r="J170" s="24">
        <v>25</v>
      </c>
      <c r="K170" s="24">
        <v>32</v>
      </c>
      <c r="L170" s="26" t="s">
        <v>214</v>
      </c>
    </row>
    <row r="171" spans="1:12" ht="43.8" thickBot="1" x14ac:dyDescent="0.35">
      <c r="A171" s="24">
        <v>10039</v>
      </c>
      <c r="B171" s="25">
        <v>45696</v>
      </c>
      <c r="C171" s="26" t="s">
        <v>278</v>
      </c>
      <c r="D171" s="26" t="s">
        <v>201</v>
      </c>
      <c r="E171" s="26" t="s">
        <v>202</v>
      </c>
      <c r="F171" s="26" t="s">
        <v>279</v>
      </c>
      <c r="G171" s="24">
        <v>7</v>
      </c>
      <c r="H171" s="24">
        <v>2499</v>
      </c>
      <c r="I171" s="24">
        <v>9996</v>
      </c>
      <c r="J171" s="24">
        <v>30</v>
      </c>
      <c r="K171" s="24">
        <v>27</v>
      </c>
      <c r="L171" s="26" t="s">
        <v>204</v>
      </c>
    </row>
    <row r="172" spans="1:12" ht="43.8" thickBot="1" x14ac:dyDescent="0.35">
      <c r="A172" s="24">
        <v>10040</v>
      </c>
      <c r="B172" s="25">
        <v>45697</v>
      </c>
      <c r="C172" s="26" t="s">
        <v>280</v>
      </c>
      <c r="D172" s="26" t="s">
        <v>206</v>
      </c>
      <c r="E172" s="26" t="s">
        <v>197</v>
      </c>
      <c r="F172" s="26" t="s">
        <v>281</v>
      </c>
      <c r="G172" s="24">
        <v>7</v>
      </c>
      <c r="H172" s="24">
        <v>2999</v>
      </c>
      <c r="I172" s="24">
        <v>8997</v>
      </c>
      <c r="J172" s="24">
        <v>18</v>
      </c>
      <c r="K172" s="24">
        <v>39</v>
      </c>
      <c r="L172" s="26" t="s">
        <v>208</v>
      </c>
    </row>
    <row r="173" spans="1:12" ht="43.8" thickBot="1" x14ac:dyDescent="0.35">
      <c r="A173" s="24">
        <v>10041</v>
      </c>
      <c r="B173" s="25">
        <v>45698</v>
      </c>
      <c r="C173" s="26" t="s">
        <v>282</v>
      </c>
      <c r="D173" s="26" t="s">
        <v>196</v>
      </c>
      <c r="E173" s="26" t="s">
        <v>210</v>
      </c>
      <c r="F173" s="26" t="s">
        <v>283</v>
      </c>
      <c r="G173" s="24">
        <v>5</v>
      </c>
      <c r="H173" s="24">
        <v>999</v>
      </c>
      <c r="I173" s="24">
        <v>999</v>
      </c>
      <c r="J173" s="24">
        <v>15</v>
      </c>
      <c r="K173" s="24">
        <v>28</v>
      </c>
      <c r="L173" s="26" t="s">
        <v>199</v>
      </c>
    </row>
    <row r="174" spans="1:12" ht="29.4" thickBot="1" x14ac:dyDescent="0.35">
      <c r="A174" s="24">
        <v>10042</v>
      </c>
      <c r="B174" s="25">
        <v>45699</v>
      </c>
      <c r="C174" s="26" t="s">
        <v>284</v>
      </c>
      <c r="D174" s="26" t="s">
        <v>213</v>
      </c>
      <c r="E174" s="26" t="s">
        <v>202</v>
      </c>
      <c r="F174" s="26" t="s">
        <v>285</v>
      </c>
      <c r="G174" s="24">
        <v>8</v>
      </c>
      <c r="H174" s="24">
        <v>1499</v>
      </c>
      <c r="I174" s="24">
        <v>2998</v>
      </c>
      <c r="J174" s="24">
        <v>20</v>
      </c>
      <c r="K174" s="24">
        <v>35</v>
      </c>
      <c r="L174" s="26" t="s">
        <v>214</v>
      </c>
    </row>
    <row r="175" spans="1:12" ht="58.2" thickBot="1" x14ac:dyDescent="0.35">
      <c r="A175" s="24">
        <v>10043</v>
      </c>
      <c r="B175" s="25">
        <v>45700</v>
      </c>
      <c r="C175" s="26" t="s">
        <v>286</v>
      </c>
      <c r="D175" s="26" t="s">
        <v>201</v>
      </c>
      <c r="E175" s="26" t="s">
        <v>197</v>
      </c>
      <c r="F175" s="26" t="s">
        <v>287</v>
      </c>
      <c r="G175" s="24">
        <v>1</v>
      </c>
      <c r="H175" s="24">
        <v>1999</v>
      </c>
      <c r="I175" s="24">
        <v>5997</v>
      </c>
      <c r="J175" s="24">
        <v>25</v>
      </c>
      <c r="K175" s="24">
        <v>40</v>
      </c>
      <c r="L175" s="26" t="s">
        <v>204</v>
      </c>
    </row>
    <row r="176" spans="1:12" ht="43.8" thickBot="1" x14ac:dyDescent="0.35">
      <c r="A176" s="24">
        <v>10044</v>
      </c>
      <c r="B176" s="25">
        <v>45701</v>
      </c>
      <c r="C176" s="26" t="s">
        <v>288</v>
      </c>
      <c r="D176" s="26" t="s">
        <v>206</v>
      </c>
      <c r="E176" s="26" t="s">
        <v>210</v>
      </c>
      <c r="F176" s="26" t="s">
        <v>170</v>
      </c>
      <c r="G176" s="24">
        <v>6</v>
      </c>
      <c r="H176" s="24">
        <v>2499</v>
      </c>
      <c r="I176" s="24">
        <v>9996</v>
      </c>
      <c r="J176" s="24">
        <v>30</v>
      </c>
      <c r="K176" s="24">
        <v>24</v>
      </c>
      <c r="L176" s="26" t="s">
        <v>208</v>
      </c>
    </row>
    <row r="177" spans="1:12" ht="43.8" thickBot="1" x14ac:dyDescent="0.35">
      <c r="A177" s="24">
        <v>10045</v>
      </c>
      <c r="B177" s="25">
        <v>45702</v>
      </c>
      <c r="C177" s="26" t="s">
        <v>289</v>
      </c>
      <c r="D177" s="26" t="s">
        <v>196</v>
      </c>
      <c r="E177" s="26" t="s">
        <v>202</v>
      </c>
      <c r="F177" s="26" t="s">
        <v>290</v>
      </c>
      <c r="G177" s="24">
        <v>6</v>
      </c>
      <c r="H177" s="24">
        <v>2999</v>
      </c>
      <c r="I177" s="24">
        <v>14995</v>
      </c>
      <c r="J177" s="24">
        <v>18</v>
      </c>
      <c r="K177" s="24">
        <v>31</v>
      </c>
      <c r="L177" s="26" t="s">
        <v>199</v>
      </c>
    </row>
    <row r="178" spans="1:12" ht="43.8" thickBot="1" x14ac:dyDescent="0.35">
      <c r="A178" s="24">
        <v>10046</v>
      </c>
      <c r="B178" s="25">
        <v>45703</v>
      </c>
      <c r="C178" s="26" t="s">
        <v>291</v>
      </c>
      <c r="D178" s="26" t="s">
        <v>213</v>
      </c>
      <c r="E178" s="26" t="s">
        <v>197</v>
      </c>
      <c r="F178" s="26" t="s">
        <v>292</v>
      </c>
      <c r="G178" s="24">
        <v>8</v>
      </c>
      <c r="H178" s="24">
        <v>999</v>
      </c>
      <c r="I178" s="24">
        <v>1998</v>
      </c>
      <c r="J178" s="24">
        <v>15</v>
      </c>
      <c r="K178" s="24">
        <v>29</v>
      </c>
      <c r="L178" s="26" t="s">
        <v>214</v>
      </c>
    </row>
    <row r="179" spans="1:12" ht="58.2" thickBot="1" x14ac:dyDescent="0.35">
      <c r="A179" s="24">
        <v>10047</v>
      </c>
      <c r="B179" s="25">
        <v>45704</v>
      </c>
      <c r="C179" s="26" t="s">
        <v>293</v>
      </c>
      <c r="D179" s="26" t="s">
        <v>201</v>
      </c>
      <c r="E179" s="26" t="s">
        <v>210</v>
      </c>
      <c r="F179" s="26" t="s">
        <v>294</v>
      </c>
      <c r="G179" s="24">
        <v>4</v>
      </c>
      <c r="H179" s="24">
        <v>1499</v>
      </c>
      <c r="I179" s="24">
        <v>2998</v>
      </c>
      <c r="J179" s="24">
        <v>20</v>
      </c>
      <c r="K179" s="24">
        <v>45</v>
      </c>
      <c r="L179" s="26" t="s">
        <v>204</v>
      </c>
    </row>
    <row r="180" spans="1:12" ht="43.8" thickBot="1" x14ac:dyDescent="0.35">
      <c r="A180" s="24">
        <v>10048</v>
      </c>
      <c r="B180" s="25">
        <v>45705</v>
      </c>
      <c r="C180" s="26" t="s">
        <v>295</v>
      </c>
      <c r="D180" s="26" t="s">
        <v>206</v>
      </c>
      <c r="E180" s="26" t="s">
        <v>202</v>
      </c>
      <c r="F180" s="26" t="s">
        <v>296</v>
      </c>
      <c r="G180" s="24">
        <v>6</v>
      </c>
      <c r="H180" s="24">
        <v>1999</v>
      </c>
      <c r="I180" s="24">
        <v>5997</v>
      </c>
      <c r="J180" s="24">
        <v>25</v>
      </c>
      <c r="K180" s="24">
        <v>32</v>
      </c>
      <c r="L180" s="26" t="s">
        <v>208</v>
      </c>
    </row>
    <row r="181" spans="1:12" ht="29.4" thickBot="1" x14ac:dyDescent="0.35">
      <c r="A181" s="24">
        <v>10049</v>
      </c>
      <c r="B181" s="25">
        <v>45706</v>
      </c>
      <c r="C181" s="26" t="s">
        <v>297</v>
      </c>
      <c r="D181" s="26" t="s">
        <v>196</v>
      </c>
      <c r="E181" s="26" t="s">
        <v>197</v>
      </c>
      <c r="F181" s="26" t="s">
        <v>298</v>
      </c>
      <c r="G181" s="24">
        <v>9</v>
      </c>
      <c r="H181" s="24">
        <v>2499</v>
      </c>
      <c r="I181" s="24">
        <v>22491</v>
      </c>
      <c r="J181" s="24">
        <v>30</v>
      </c>
      <c r="K181" s="24">
        <v>27</v>
      </c>
      <c r="L181" s="26" t="s">
        <v>199</v>
      </c>
    </row>
    <row r="182" spans="1:12" ht="28.8" x14ac:dyDescent="0.3">
      <c r="A182" s="29">
        <v>10050</v>
      </c>
      <c r="B182" s="30">
        <v>45707</v>
      </c>
      <c r="C182" s="31" t="s">
        <v>299</v>
      </c>
      <c r="D182" s="31" t="s">
        <v>213</v>
      </c>
      <c r="E182" s="31" t="s">
        <v>210</v>
      </c>
      <c r="F182" s="31" t="s">
        <v>300</v>
      </c>
      <c r="G182" s="29">
        <v>8</v>
      </c>
      <c r="H182" s="29">
        <v>2999</v>
      </c>
      <c r="I182" s="29">
        <v>14995</v>
      </c>
      <c r="J182" s="29">
        <v>18</v>
      </c>
      <c r="K182" s="29">
        <v>39</v>
      </c>
      <c r="L182" s="31" t="s">
        <v>214</v>
      </c>
    </row>
    <row r="184" spans="1:12" x14ac:dyDescent="0.3">
      <c r="B184" s="39" t="s">
        <v>167</v>
      </c>
      <c r="C184" s="39" t="s">
        <v>301</v>
      </c>
    </row>
    <row r="185" spans="1:12" x14ac:dyDescent="0.3">
      <c r="B185" s="38" t="s">
        <v>198</v>
      </c>
      <c r="C185" s="38">
        <f>_xlfn.XLOOKUP(B185,Table4[Product Name],Table4[Quantity]) * _xlfn.XLOOKUP(B185,Table4[Product Name],Table4[Unit Price (?)])</f>
        <v>9990</v>
      </c>
    </row>
    <row r="186" spans="1:12" x14ac:dyDescent="0.3">
      <c r="B186" s="38" t="s">
        <v>203</v>
      </c>
      <c r="C186" s="38">
        <f>_xlfn.XLOOKUP(B186,Table4[Product Name],Table4[Quantity]) * _xlfn.XLOOKUP(B186,Table4[Product Name],Table4[Unit Price (?)])</f>
        <v>5997</v>
      </c>
    </row>
    <row r="187" spans="1:12" x14ac:dyDescent="0.3">
      <c r="B187" s="38" t="s">
        <v>169</v>
      </c>
      <c r="C187" s="38">
        <f>_xlfn.XLOOKUP(B187,Table4[Product Name],Table4[Quantity]) * _xlfn.XLOOKUP(B187,Table4[Product Name],Table4[Unit Price (?)])</f>
        <v>2997</v>
      </c>
    </row>
    <row r="188" spans="1:12" x14ac:dyDescent="0.3">
      <c r="B188" s="38" t="s">
        <v>224</v>
      </c>
      <c r="C188" s="38">
        <f>_xlfn.XLOOKUP(B188,Table4[Product Name],Table4[Quantity]) * _xlfn.XLOOKUP(B188,Table4[Product Name],Table4[Unit Price (?)])</f>
        <v>9990</v>
      </c>
      <c r="E188" s="3" t="s">
        <v>445</v>
      </c>
    </row>
    <row r="189" spans="1:12" x14ac:dyDescent="0.3">
      <c r="B189" s="38" t="s">
        <v>228</v>
      </c>
      <c r="C189" s="38">
        <f>_xlfn.XLOOKUP(B189,Table4[Product Name],Table4[Quantity]) * _xlfn.XLOOKUP(B189,Table4[Product Name],Table4[Unit Price (?)])</f>
        <v>5997</v>
      </c>
      <c r="E189" s="3"/>
    </row>
    <row r="190" spans="1:12" x14ac:dyDescent="0.3">
      <c r="B190" s="38" t="s">
        <v>216</v>
      </c>
      <c r="C190" s="38">
        <f>_xlfn.XLOOKUP(B190,Table4[Product Name],Table4[Quantity]) * _xlfn.XLOOKUP(B190,Table4[Product Name],Table4[Unit Price (?)])</f>
        <v>13491</v>
      </c>
    </row>
    <row r="191" spans="1:12" x14ac:dyDescent="0.3">
      <c r="B191" s="38" t="s">
        <v>211</v>
      </c>
      <c r="C191" s="38">
        <f>_xlfn.XLOOKUP(B191,Table4[Product Name],Table4[Quantity]) * _xlfn.XLOOKUP(B191,Table4[Product Name],Table4[Unit Price (?)])</f>
        <v>23992</v>
      </c>
    </row>
    <row r="192" spans="1:12" x14ac:dyDescent="0.3">
      <c r="B192" s="38" t="s">
        <v>300</v>
      </c>
      <c r="C192" s="38">
        <f>_xlfn.XLOOKUP(B192,Table4[Product Name],Table4[Quantity]) * _xlfn.XLOOKUP(B192,Table4[Product Name],Table4[Unit Price (?)])</f>
        <v>23992</v>
      </c>
    </row>
    <row r="193" spans="1:14" x14ac:dyDescent="0.3">
      <c r="B193" s="38" t="s">
        <v>236</v>
      </c>
      <c r="C193" s="38">
        <f>_xlfn.XLOOKUP(B193,Table4[Product Name],Table4[Quantity]) * _xlfn.XLOOKUP(B193,Table4[Product Name],Table4[Unit Price (?)])</f>
        <v>5996</v>
      </c>
    </row>
    <row r="194" spans="1:14" x14ac:dyDescent="0.3">
      <c r="B194" s="38" t="s">
        <v>268</v>
      </c>
      <c r="C194" s="38">
        <f>_xlfn.XLOOKUP(B194,Table4[Product Name],Table4[Quantity]) * _xlfn.XLOOKUP(B194,Table4[Product Name],Table4[Unit Price (?)])</f>
        <v>13993</v>
      </c>
    </row>
    <row r="195" spans="1:14" x14ac:dyDescent="0.3">
      <c r="B195" s="38" t="s">
        <v>294</v>
      </c>
      <c r="C195" s="38">
        <f>_xlfn.XLOOKUP(B195,Table4[Product Name],Table4[Quantity]) * _xlfn.XLOOKUP(B195,Table4[Product Name],Table4[Unit Price (?)])</f>
        <v>5996</v>
      </c>
    </row>
    <row r="196" spans="1:14" x14ac:dyDescent="0.3">
      <c r="B196" s="38" t="s">
        <v>290</v>
      </c>
      <c r="C196" s="38">
        <f>_xlfn.XLOOKUP(B196,Table4[Product Name],Table4[Quantity]) * _xlfn.XLOOKUP(B196,Table4[Product Name],Table4[Unit Price (?)])</f>
        <v>17994</v>
      </c>
    </row>
    <row r="197" spans="1:14" x14ac:dyDescent="0.3">
      <c r="B197" s="38" t="s">
        <v>283</v>
      </c>
      <c r="C197" s="38">
        <f>_xlfn.XLOOKUP(B197,Table4[Product Name],Table4[Quantity]) * _xlfn.XLOOKUP(B197,Table4[Product Name],Table4[Unit Price (?)])</f>
        <v>4995</v>
      </c>
    </row>
    <row r="198" spans="1:14" x14ac:dyDescent="0.3">
      <c r="B198" s="38" t="s">
        <v>279</v>
      </c>
      <c r="C198" s="38">
        <f>_xlfn.XLOOKUP(B198,Table4[Product Name],Table4[Quantity]) * _xlfn.XLOOKUP(B198,Table4[Product Name],Table4[Unit Price (?)])</f>
        <v>17493</v>
      </c>
    </row>
    <row r="199" spans="1:14" x14ac:dyDescent="0.3">
      <c r="B199" s="38" t="s">
        <v>296</v>
      </c>
      <c r="C199" s="38">
        <f>_xlfn.XLOOKUP(B199,Table4[Product Name],Table4[Quantity]) * _xlfn.XLOOKUP(B199,Table4[Product Name],Table4[Unit Price (?)])</f>
        <v>11994</v>
      </c>
    </row>
    <row r="200" spans="1:14" x14ac:dyDescent="0.3">
      <c r="B200" s="38" t="s">
        <v>283</v>
      </c>
      <c r="C200" s="38">
        <f>_xlfn.XLOOKUP(B200,Table4[Product Name],Table4[Quantity]) * _xlfn.XLOOKUP(B200,Table4[Product Name],Table4[Unit Price (?)])</f>
        <v>4995</v>
      </c>
    </row>
    <row r="201" spans="1:14" x14ac:dyDescent="0.3">
      <c r="B201" s="38" t="s">
        <v>296</v>
      </c>
      <c r="C201" s="38">
        <f>_xlfn.XLOOKUP(B201,Table4[Product Name],Table4[Quantity]) * _xlfn.XLOOKUP(B201,Table4[Product Name],Table4[Unit Price (?)])</f>
        <v>11994</v>
      </c>
    </row>
    <row r="203" spans="1:14" x14ac:dyDescent="0.3">
      <c r="A203" s="3" t="s">
        <v>302</v>
      </c>
    </row>
    <row r="204" spans="1:14" x14ac:dyDescent="0.3">
      <c r="A204" s="3" t="s">
        <v>303</v>
      </c>
    </row>
    <row r="205" spans="1:14" x14ac:dyDescent="0.3">
      <c r="A205" s="32" t="s">
        <v>304</v>
      </c>
      <c r="B205" s="32" t="s">
        <v>186</v>
      </c>
      <c r="C205" s="32" t="s">
        <v>305</v>
      </c>
      <c r="D205" s="32" t="s">
        <v>306</v>
      </c>
      <c r="E205" s="32" t="s">
        <v>307</v>
      </c>
      <c r="F205" s="32" t="s">
        <v>308</v>
      </c>
      <c r="G205" s="32" t="s">
        <v>309</v>
      </c>
      <c r="H205" s="32" t="s">
        <v>301</v>
      </c>
      <c r="I205" s="32" t="s">
        <v>310</v>
      </c>
      <c r="J205" s="32" t="s">
        <v>311</v>
      </c>
      <c r="K205" s="32" t="s">
        <v>312</v>
      </c>
      <c r="L205" s="32" t="s">
        <v>444</v>
      </c>
      <c r="M205" s="36" t="s">
        <v>313</v>
      </c>
      <c r="N205" s="32" t="s">
        <v>314</v>
      </c>
    </row>
    <row r="206" spans="1:14" x14ac:dyDescent="0.3">
      <c r="A206" s="33" t="s">
        <v>315</v>
      </c>
      <c r="B206" s="33" t="s">
        <v>316</v>
      </c>
      <c r="C206" s="33" t="s">
        <v>317</v>
      </c>
      <c r="D206" s="33" t="s">
        <v>318</v>
      </c>
      <c r="E206" s="33">
        <v>9515759149</v>
      </c>
      <c r="F206" s="33" t="s">
        <v>319</v>
      </c>
      <c r="G206" s="33" t="s">
        <v>320</v>
      </c>
      <c r="H206" s="33">
        <v>2439.81</v>
      </c>
      <c r="I206" s="33">
        <v>5</v>
      </c>
      <c r="J206" s="33">
        <v>3559.55</v>
      </c>
      <c r="K206" s="33" t="s">
        <v>199</v>
      </c>
      <c r="L206" s="33" cm="1">
        <f t="array" ref="L206">_xlfn.XLOOKUP(Table5[[#This Row],[Product]],Table5[Product],Table5[Price])*_xlfn.XLOOKUP(Table5[[#This Row],[Product]],Table5[Product],$I$206:$I$305)</f>
        <v>12199.05</v>
      </c>
      <c r="M206" s="37" t="str">
        <f>IF(L206&gt;=15000,"High",IF(L206&gt;=5000,"Medium","Low"))</f>
        <v>Medium</v>
      </c>
      <c r="N206" s="33">
        <f>ROUND((Table5[[#This Row],[Profit]]/Table5[[#This Row],[Revenue Generated]])*100,2)</f>
        <v>29.18</v>
      </c>
    </row>
    <row r="207" spans="1:14" x14ac:dyDescent="0.3">
      <c r="A207" s="33" t="s">
        <v>321</v>
      </c>
      <c r="B207" s="33" t="s">
        <v>316</v>
      </c>
      <c r="C207" s="33" t="s">
        <v>317</v>
      </c>
      <c r="D207" s="33" t="s">
        <v>318</v>
      </c>
      <c r="E207" s="33">
        <v>9720381947</v>
      </c>
      <c r="F207" s="33" t="s">
        <v>322</v>
      </c>
      <c r="G207" s="33" t="s">
        <v>323</v>
      </c>
      <c r="H207" s="33">
        <v>1621.43</v>
      </c>
      <c r="I207" s="33">
        <v>13</v>
      </c>
      <c r="J207" s="33">
        <v>4029.57</v>
      </c>
      <c r="K207" s="33" t="s">
        <v>324</v>
      </c>
      <c r="L207" s="33" cm="1">
        <f t="array" ref="L207">_xlfn.XLOOKUP(Table5[[#This Row],[Product]],Table5[Product],Table5[Price])*_xlfn.XLOOKUP(Table5[[#This Row],[Product]],Table5[Product],$I$206:$I$305)</f>
        <v>21078.59</v>
      </c>
      <c r="M207" s="37" t="str">
        <f t="shared" ref="M207:M270" si="0">IF(L207&gt;=15000,"High",IF(L207&gt;=5000,"Medium","Low"))</f>
        <v>High</v>
      </c>
      <c r="N207" s="33">
        <f>ROUND((Table5[[#This Row],[Profit]]/Table5[[#This Row],[Revenue Generated]])*100,2)</f>
        <v>19.12</v>
      </c>
    </row>
    <row r="208" spans="1:14" x14ac:dyDescent="0.3">
      <c r="A208" s="33" t="s">
        <v>325</v>
      </c>
      <c r="B208" s="33" t="s">
        <v>326</v>
      </c>
      <c r="C208" s="33" t="s">
        <v>317</v>
      </c>
      <c r="D208" s="33" t="s">
        <v>327</v>
      </c>
      <c r="E208" s="33">
        <v>9483465530</v>
      </c>
      <c r="F208" s="33" t="s">
        <v>319</v>
      </c>
      <c r="G208" s="33" t="s">
        <v>328</v>
      </c>
      <c r="H208" s="33">
        <v>1363.73</v>
      </c>
      <c r="I208" s="33">
        <v>1</v>
      </c>
      <c r="J208" s="33">
        <v>362.2</v>
      </c>
      <c r="K208" s="33" t="s">
        <v>324</v>
      </c>
      <c r="L208" s="33" cm="1">
        <f t="array" ref="L208">_xlfn.XLOOKUP(Table5[[#This Row],[Product]],Table5[Product],Table5[Price])*_xlfn.XLOOKUP(Table5[[#This Row],[Product]],Table5[Product],$I$206:$I$305)</f>
        <v>1363.73</v>
      </c>
      <c r="M208" s="37" t="str">
        <f t="shared" si="0"/>
        <v>Low</v>
      </c>
      <c r="N208" s="33">
        <f>ROUND((Table5[[#This Row],[Profit]]/Table5[[#This Row],[Revenue Generated]])*100,2)</f>
        <v>26.56</v>
      </c>
    </row>
    <row r="209" spans="1:14" x14ac:dyDescent="0.3">
      <c r="A209" s="33" t="s">
        <v>329</v>
      </c>
      <c r="B209" s="33" t="s">
        <v>326</v>
      </c>
      <c r="C209" s="33" t="s">
        <v>317</v>
      </c>
      <c r="D209" s="33" t="s">
        <v>327</v>
      </c>
      <c r="E209" s="33">
        <v>9350165589</v>
      </c>
      <c r="F209" s="33" t="s">
        <v>322</v>
      </c>
      <c r="G209" s="33" t="s">
        <v>330</v>
      </c>
      <c r="H209" s="33">
        <v>1172.93</v>
      </c>
      <c r="I209" s="33">
        <v>5</v>
      </c>
      <c r="J209" s="33">
        <v>1542.65</v>
      </c>
      <c r="K209" s="33" t="s">
        <v>331</v>
      </c>
      <c r="L209" s="33" cm="1">
        <f t="array" ref="L209">_xlfn.XLOOKUP(Table5[[#This Row],[Product]],Table5[Product],Table5[Price])*_xlfn.XLOOKUP(Table5[[#This Row],[Product]],Table5[Product],$I$206:$I$305)</f>
        <v>5864.6500000000005</v>
      </c>
      <c r="M209" s="37" t="str">
        <f t="shared" si="0"/>
        <v>Medium</v>
      </c>
      <c r="N209" s="33">
        <f>ROUND((Table5[[#This Row],[Profit]]/Table5[[#This Row],[Revenue Generated]])*100,2)</f>
        <v>26.3</v>
      </c>
    </row>
    <row r="210" spans="1:14" x14ac:dyDescent="0.3">
      <c r="A210" s="33" t="s">
        <v>332</v>
      </c>
      <c r="B210" s="33" t="s">
        <v>326</v>
      </c>
      <c r="C210" s="33" t="s">
        <v>317</v>
      </c>
      <c r="D210" s="33" t="s">
        <v>318</v>
      </c>
      <c r="E210" s="33">
        <v>9621991901</v>
      </c>
      <c r="F210" s="33" t="s">
        <v>319</v>
      </c>
      <c r="G210" s="33" t="s">
        <v>211</v>
      </c>
      <c r="H210" s="33">
        <v>2457.56</v>
      </c>
      <c r="I210" s="33">
        <v>13</v>
      </c>
      <c r="J210" s="34">
        <v>6972.71</v>
      </c>
      <c r="K210" s="33" t="s">
        <v>199</v>
      </c>
      <c r="L210" s="33" cm="1">
        <f t="array" ref="L210">_xlfn.XLOOKUP(Table5[[#This Row],[Product]],Table5[Product],Table5[Price])*_xlfn.XLOOKUP(Table5[[#This Row],[Product]],Table5[Product],$I$206:$I$305)</f>
        <v>31948.28</v>
      </c>
      <c r="M210" s="37" t="str">
        <f t="shared" si="0"/>
        <v>High</v>
      </c>
      <c r="N210" s="33">
        <f>ROUND((Table5[[#This Row],[Profit]]/Table5[[#This Row],[Revenue Generated]])*100,2)</f>
        <v>21.82</v>
      </c>
    </row>
    <row r="211" spans="1:14" x14ac:dyDescent="0.3">
      <c r="A211" s="33" t="s">
        <v>333</v>
      </c>
      <c r="B211" s="33" t="s">
        <v>326</v>
      </c>
      <c r="C211" s="33" t="s">
        <v>317</v>
      </c>
      <c r="D211" s="33" t="s">
        <v>327</v>
      </c>
      <c r="E211" s="33">
        <v>9734105442</v>
      </c>
      <c r="F211" s="33" t="s">
        <v>319</v>
      </c>
      <c r="G211" s="33" t="s">
        <v>218</v>
      </c>
      <c r="H211" s="33">
        <v>2661.44</v>
      </c>
      <c r="I211" s="33">
        <v>7</v>
      </c>
      <c r="J211" s="33">
        <v>2581.67</v>
      </c>
      <c r="K211" s="33" t="s">
        <v>324</v>
      </c>
      <c r="L211" s="33" cm="1">
        <f t="array" ref="L211">_xlfn.XLOOKUP(Table5[[#This Row],[Product]],Table5[Product],Table5[Price])*_xlfn.XLOOKUP(Table5[[#This Row],[Product]],Table5[Product],$I$206:$I$305)</f>
        <v>18630.080000000002</v>
      </c>
      <c r="M211" s="37" t="str">
        <f t="shared" si="0"/>
        <v>High</v>
      </c>
      <c r="N211" s="33">
        <f>ROUND((Table5[[#This Row],[Profit]]/Table5[[#This Row],[Revenue Generated]])*100,2)</f>
        <v>13.86</v>
      </c>
    </row>
    <row r="212" spans="1:14" x14ac:dyDescent="0.3">
      <c r="A212" s="33" t="s">
        <v>334</v>
      </c>
      <c r="B212" s="33" t="s">
        <v>335</v>
      </c>
      <c r="C212" s="33" t="s">
        <v>317</v>
      </c>
      <c r="D212" s="33" t="s">
        <v>336</v>
      </c>
      <c r="E212" s="33">
        <v>9117390999</v>
      </c>
      <c r="F212" s="33" t="s">
        <v>319</v>
      </c>
      <c r="G212" s="33" t="s">
        <v>328</v>
      </c>
      <c r="H212" s="33">
        <v>1400.82</v>
      </c>
      <c r="I212" s="33">
        <v>6</v>
      </c>
      <c r="J212" s="33">
        <v>994.44</v>
      </c>
      <c r="K212" s="33" t="s">
        <v>214</v>
      </c>
      <c r="L212" s="33" cm="1">
        <f t="array" ref="L212">_xlfn.XLOOKUP(Table5[[#This Row],[Product]],Table5[Product],Table5[Price])*_xlfn.XLOOKUP(Table5[[#This Row],[Product]],Table5[Product],$I$206:$I$305)</f>
        <v>1363.73</v>
      </c>
      <c r="M212" s="37" t="str">
        <f t="shared" si="0"/>
        <v>Low</v>
      </c>
      <c r="N212" s="33">
        <f>ROUND((Table5[[#This Row],[Profit]]/Table5[[#This Row],[Revenue Generated]])*100,2)</f>
        <v>72.92</v>
      </c>
    </row>
    <row r="213" spans="1:14" x14ac:dyDescent="0.3">
      <c r="A213" s="33" t="s">
        <v>337</v>
      </c>
      <c r="B213" s="33" t="s">
        <v>316</v>
      </c>
      <c r="C213" s="33" t="s">
        <v>317</v>
      </c>
      <c r="D213" s="33" t="s">
        <v>318</v>
      </c>
      <c r="E213" s="33">
        <v>9513032833</v>
      </c>
      <c r="F213" s="33" t="s">
        <v>322</v>
      </c>
      <c r="G213" s="33" t="s">
        <v>338</v>
      </c>
      <c r="H213" s="33">
        <v>416.18</v>
      </c>
      <c r="I213" s="33">
        <v>3</v>
      </c>
      <c r="J213" s="33">
        <v>327.88</v>
      </c>
      <c r="K213" s="33" t="s">
        <v>324</v>
      </c>
      <c r="L213" s="33" cm="1">
        <f t="array" ref="L213">_xlfn.XLOOKUP(Table5[[#This Row],[Product]],Table5[Product],Table5[Price])*_xlfn.XLOOKUP(Table5[[#This Row],[Product]],Table5[Product],$I$206:$I$305)</f>
        <v>1248.54</v>
      </c>
      <c r="M213" s="37" t="str">
        <f t="shared" si="0"/>
        <v>Low</v>
      </c>
      <c r="N213" s="33">
        <f>ROUND((Table5[[#This Row],[Profit]]/Table5[[#This Row],[Revenue Generated]])*100,2)</f>
        <v>26.26</v>
      </c>
    </row>
    <row r="214" spans="1:14" x14ac:dyDescent="0.3">
      <c r="A214" s="33" t="s">
        <v>339</v>
      </c>
      <c r="B214" s="33" t="s">
        <v>326</v>
      </c>
      <c r="C214" s="33" t="s">
        <v>317</v>
      </c>
      <c r="D214" s="33" t="s">
        <v>340</v>
      </c>
      <c r="E214" s="35">
        <v>95543976868</v>
      </c>
      <c r="F214" s="33" t="s">
        <v>322</v>
      </c>
      <c r="G214" s="33" t="s">
        <v>338</v>
      </c>
      <c r="H214" s="33">
        <v>1290.47</v>
      </c>
      <c r="I214" s="33">
        <v>6</v>
      </c>
      <c r="J214" s="33">
        <v>1045.43</v>
      </c>
      <c r="K214" s="33" t="s">
        <v>324</v>
      </c>
      <c r="L214" s="33" cm="1">
        <f t="array" ref="L214">_xlfn.XLOOKUP(Table5[[#This Row],[Product]],Table5[Product],Table5[Price])*_xlfn.XLOOKUP(Table5[[#This Row],[Product]],Table5[Product],$I$206:$I$305)</f>
        <v>1248.54</v>
      </c>
      <c r="M214" s="37" t="str">
        <f t="shared" si="0"/>
        <v>Low</v>
      </c>
      <c r="N214" s="33">
        <f>ROUND((Table5[[#This Row],[Profit]]/Table5[[#This Row],[Revenue Generated]])*100,2)</f>
        <v>83.73</v>
      </c>
    </row>
    <row r="215" spans="1:14" x14ac:dyDescent="0.3">
      <c r="A215" s="33" t="s">
        <v>341</v>
      </c>
      <c r="B215" s="33" t="s">
        <v>316</v>
      </c>
      <c r="C215" s="33" t="s">
        <v>317</v>
      </c>
      <c r="D215" s="33" t="s">
        <v>342</v>
      </c>
      <c r="E215" s="33">
        <v>9866250123</v>
      </c>
      <c r="F215" s="33" t="s">
        <v>319</v>
      </c>
      <c r="G215" s="33" t="s">
        <v>328</v>
      </c>
      <c r="H215" s="33">
        <v>2519.94</v>
      </c>
      <c r="I215" s="33">
        <v>15</v>
      </c>
      <c r="J215" s="34">
        <v>11123.31</v>
      </c>
      <c r="K215" s="33" t="s">
        <v>331</v>
      </c>
      <c r="L215" s="33" cm="1">
        <f t="array" ref="L215">_xlfn.XLOOKUP(Table5[[#This Row],[Product]],Table5[Product],Table5[Price])*_xlfn.XLOOKUP(Table5[[#This Row],[Product]],Table5[Product],$I$206:$I$305)</f>
        <v>1363.73</v>
      </c>
      <c r="M215" s="37" t="str">
        <f t="shared" si="0"/>
        <v>Low</v>
      </c>
      <c r="N215" s="33">
        <f>ROUND((Table5[[#This Row],[Profit]]/Table5[[#This Row],[Revenue Generated]])*100,2)</f>
        <v>815.65</v>
      </c>
    </row>
    <row r="216" spans="1:14" x14ac:dyDescent="0.3">
      <c r="A216" s="33" t="s">
        <v>343</v>
      </c>
      <c r="B216" s="33" t="s">
        <v>326</v>
      </c>
      <c r="C216" s="33" t="s">
        <v>317</v>
      </c>
      <c r="D216" s="33" t="s">
        <v>344</v>
      </c>
      <c r="E216" s="33">
        <v>9884314044</v>
      </c>
      <c r="F216" s="33" t="s">
        <v>319</v>
      </c>
      <c r="G216" s="33" t="s">
        <v>328</v>
      </c>
      <c r="H216" s="33">
        <v>2814.97</v>
      </c>
      <c r="I216" s="33">
        <v>1</v>
      </c>
      <c r="J216" s="33">
        <v>716.15</v>
      </c>
      <c r="K216" s="33" t="s">
        <v>324</v>
      </c>
      <c r="L216" s="33" cm="1">
        <f t="array" ref="L216">_xlfn.XLOOKUP(Table5[[#This Row],[Product]],Table5[Product],Table5[Price])*_xlfn.XLOOKUP(Table5[[#This Row],[Product]],Table5[Product],$I$206:$I$305)</f>
        <v>1363.73</v>
      </c>
      <c r="M216" s="37" t="str">
        <f t="shared" si="0"/>
        <v>Low</v>
      </c>
      <c r="N216" s="33">
        <f>ROUND((Table5[[#This Row],[Profit]]/Table5[[#This Row],[Revenue Generated]])*100,2)</f>
        <v>52.51</v>
      </c>
    </row>
    <row r="217" spans="1:14" x14ac:dyDescent="0.3">
      <c r="A217" s="33" t="s">
        <v>345</v>
      </c>
      <c r="B217" s="33" t="s">
        <v>335</v>
      </c>
      <c r="C217" s="33" t="s">
        <v>317</v>
      </c>
      <c r="D217" s="33" t="s">
        <v>327</v>
      </c>
      <c r="E217" s="33">
        <v>9192128284</v>
      </c>
      <c r="F217" s="33" t="s">
        <v>319</v>
      </c>
      <c r="G217" s="33" t="s">
        <v>211</v>
      </c>
      <c r="H217" s="33">
        <v>841.72</v>
      </c>
      <c r="I217" s="33">
        <v>13</v>
      </c>
      <c r="J217" s="33">
        <v>2130.1799999999998</v>
      </c>
      <c r="K217" s="33" t="s">
        <v>214</v>
      </c>
      <c r="L217" s="33" cm="1">
        <f t="array" ref="L217">_xlfn.XLOOKUP(Table5[[#This Row],[Product]],Table5[Product],Table5[Price])*_xlfn.XLOOKUP(Table5[[#This Row],[Product]],Table5[Product],$I$206:$I$305)</f>
        <v>31948.28</v>
      </c>
      <c r="M217" s="37" t="str">
        <f t="shared" si="0"/>
        <v>High</v>
      </c>
      <c r="N217" s="33">
        <f>ROUND((Table5[[#This Row],[Profit]]/Table5[[#This Row],[Revenue Generated]])*100,2)</f>
        <v>6.67</v>
      </c>
    </row>
    <row r="218" spans="1:14" x14ac:dyDescent="0.3">
      <c r="A218" s="33" t="s">
        <v>346</v>
      </c>
      <c r="B218" s="33" t="s">
        <v>347</v>
      </c>
      <c r="C218" s="33" t="s">
        <v>317</v>
      </c>
      <c r="D218" s="33" t="s">
        <v>327</v>
      </c>
      <c r="E218" s="33">
        <v>9731590483</v>
      </c>
      <c r="F218" s="33" t="s">
        <v>197</v>
      </c>
      <c r="G218" s="33" t="s">
        <v>254</v>
      </c>
      <c r="H218" s="33">
        <v>1169.28</v>
      </c>
      <c r="I218" s="33">
        <v>2</v>
      </c>
      <c r="J218" s="33">
        <v>273.95</v>
      </c>
      <c r="K218" s="33" t="s">
        <v>199</v>
      </c>
      <c r="L218" s="33" cm="1">
        <f t="array" ref="L218">_xlfn.XLOOKUP(Table5[[#This Row],[Product]],Table5[Product],Table5[Price])*_xlfn.XLOOKUP(Table5[[#This Row],[Product]],Table5[Product],$I$206:$I$305)</f>
        <v>2338.56</v>
      </c>
      <c r="M218" s="37" t="str">
        <f t="shared" si="0"/>
        <v>Low</v>
      </c>
      <c r="N218" s="33">
        <f>ROUND((Table5[[#This Row],[Profit]]/Table5[[#This Row],[Revenue Generated]])*100,2)</f>
        <v>11.71</v>
      </c>
    </row>
    <row r="219" spans="1:14" x14ac:dyDescent="0.3">
      <c r="A219" s="33" t="s">
        <v>348</v>
      </c>
      <c r="B219" s="33" t="s">
        <v>316</v>
      </c>
      <c r="C219" s="33" t="s">
        <v>317</v>
      </c>
      <c r="D219" s="33" t="s">
        <v>318</v>
      </c>
      <c r="E219" s="33">
        <v>9245312903</v>
      </c>
      <c r="F219" s="33" t="s">
        <v>322</v>
      </c>
      <c r="G219" s="33" t="s">
        <v>258</v>
      </c>
      <c r="H219" s="33">
        <v>2320.0300000000002</v>
      </c>
      <c r="I219" s="33">
        <v>3</v>
      </c>
      <c r="J219" s="33">
        <v>1260.55</v>
      </c>
      <c r="K219" s="33" t="s">
        <v>199</v>
      </c>
      <c r="L219" s="33" cm="1">
        <f t="array" ref="L219">_xlfn.XLOOKUP(Table5[[#This Row],[Product]],Table5[Product],Table5[Price])*_xlfn.XLOOKUP(Table5[[#This Row],[Product]],Table5[Product],$I$206:$I$305)</f>
        <v>6960.09</v>
      </c>
      <c r="M219" s="37" t="str">
        <f t="shared" si="0"/>
        <v>Medium</v>
      </c>
      <c r="N219" s="33">
        <f>ROUND((Table5[[#This Row],[Profit]]/Table5[[#This Row],[Revenue Generated]])*100,2)</f>
        <v>18.11</v>
      </c>
    </row>
    <row r="220" spans="1:14" x14ac:dyDescent="0.3">
      <c r="A220" s="33" t="s">
        <v>349</v>
      </c>
      <c r="B220" s="33" t="s">
        <v>347</v>
      </c>
      <c r="C220" s="33" t="s">
        <v>317</v>
      </c>
      <c r="D220" s="33" t="s">
        <v>327</v>
      </c>
      <c r="E220" s="33">
        <v>9587137236</v>
      </c>
      <c r="F220" s="33" t="s">
        <v>319</v>
      </c>
      <c r="G220" s="33" t="s">
        <v>328</v>
      </c>
      <c r="H220" s="33">
        <v>1780.66</v>
      </c>
      <c r="I220" s="33">
        <v>11</v>
      </c>
      <c r="J220" s="33">
        <v>2826.93</v>
      </c>
      <c r="K220" s="33" t="s">
        <v>214</v>
      </c>
      <c r="L220" s="33" cm="1">
        <f t="array" ref="L220">_xlfn.XLOOKUP(Table5[[#This Row],[Product]],Table5[Product],Table5[Price])*_xlfn.XLOOKUP(Table5[[#This Row],[Product]],Table5[Product],$I$206:$I$305)</f>
        <v>1363.73</v>
      </c>
      <c r="M220" s="37" t="str">
        <f t="shared" si="0"/>
        <v>Low</v>
      </c>
      <c r="N220" s="33">
        <f>ROUND((Table5[[#This Row],[Profit]]/Table5[[#This Row],[Revenue Generated]])*100,2)</f>
        <v>207.29</v>
      </c>
    </row>
    <row r="221" spans="1:14" x14ac:dyDescent="0.3">
      <c r="A221" s="33" t="s">
        <v>350</v>
      </c>
      <c r="B221" s="33" t="s">
        <v>347</v>
      </c>
      <c r="C221" s="33" t="s">
        <v>317</v>
      </c>
      <c r="D221" s="33" t="s">
        <v>336</v>
      </c>
      <c r="E221" s="33">
        <v>9161819590</v>
      </c>
      <c r="F221" s="33" t="s">
        <v>197</v>
      </c>
      <c r="G221" s="33" t="s">
        <v>171</v>
      </c>
      <c r="H221" s="33">
        <v>2672</v>
      </c>
      <c r="I221" s="33">
        <v>15</v>
      </c>
      <c r="J221" s="33">
        <v>4719.91</v>
      </c>
      <c r="K221" s="33" t="s">
        <v>331</v>
      </c>
      <c r="L221" s="33" cm="1">
        <f t="array" ref="L221">_xlfn.XLOOKUP(Table5[[#This Row],[Product]],Table5[Product],Table5[Price])*_xlfn.XLOOKUP(Table5[[#This Row],[Product]],Table5[Product],$I$206:$I$305)</f>
        <v>40080</v>
      </c>
      <c r="M221" s="37" t="str">
        <f t="shared" si="0"/>
        <v>High</v>
      </c>
      <c r="N221" s="33">
        <f>ROUND((Table5[[#This Row],[Profit]]/Table5[[#This Row],[Revenue Generated]])*100,2)</f>
        <v>11.78</v>
      </c>
    </row>
    <row r="222" spans="1:14" x14ac:dyDescent="0.3">
      <c r="A222" s="33" t="s">
        <v>351</v>
      </c>
      <c r="B222" s="33" t="s">
        <v>326</v>
      </c>
      <c r="C222" s="33" t="s">
        <v>317</v>
      </c>
      <c r="D222" s="33" t="s">
        <v>327</v>
      </c>
      <c r="E222" s="33">
        <v>9551484924</v>
      </c>
      <c r="F222" s="33" t="s">
        <v>319</v>
      </c>
      <c r="G222" s="33" t="s">
        <v>352</v>
      </c>
      <c r="H222" s="33">
        <v>824.49</v>
      </c>
      <c r="I222" s="33">
        <v>9</v>
      </c>
      <c r="J222" s="33">
        <v>1403.14</v>
      </c>
      <c r="K222" s="33" t="s">
        <v>353</v>
      </c>
      <c r="L222" s="33" cm="1">
        <f t="array" ref="L222">_xlfn.XLOOKUP(Table5[[#This Row],[Product]],Table5[Product],Table5[Price])*_xlfn.XLOOKUP(Table5[[#This Row],[Product]],Table5[Product],$I$206:$I$305)</f>
        <v>7420.41</v>
      </c>
      <c r="M222" s="37" t="str">
        <f t="shared" si="0"/>
        <v>Medium</v>
      </c>
      <c r="N222" s="33">
        <f>ROUND((Table5[[#This Row],[Profit]]/Table5[[#This Row],[Revenue Generated]])*100,2)</f>
        <v>18.91</v>
      </c>
    </row>
    <row r="223" spans="1:14" x14ac:dyDescent="0.3">
      <c r="A223" s="33" t="s">
        <v>354</v>
      </c>
      <c r="B223" s="33" t="s">
        <v>335</v>
      </c>
      <c r="C223" s="33" t="s">
        <v>317</v>
      </c>
      <c r="D223" s="33" t="s">
        <v>355</v>
      </c>
      <c r="E223" s="35">
        <v>91682255459</v>
      </c>
      <c r="F223" s="33" t="s">
        <v>197</v>
      </c>
      <c r="G223" s="33" t="s">
        <v>226</v>
      </c>
      <c r="H223" s="33">
        <v>2896.96</v>
      </c>
      <c r="I223" s="33">
        <v>7</v>
      </c>
      <c r="J223" s="33">
        <v>3528.3</v>
      </c>
      <c r="K223" s="33" t="s">
        <v>324</v>
      </c>
      <c r="L223" s="33" cm="1">
        <f t="array" ref="L223">_xlfn.XLOOKUP(Table5[[#This Row],[Product]],Table5[Product],Table5[Price])*_xlfn.XLOOKUP(Table5[[#This Row],[Product]],Table5[Product],$I$206:$I$305)</f>
        <v>20278.72</v>
      </c>
      <c r="M223" s="37" t="str">
        <f t="shared" si="0"/>
        <v>High</v>
      </c>
      <c r="N223" s="33">
        <f>ROUND((Table5[[#This Row],[Profit]]/Table5[[#This Row],[Revenue Generated]])*100,2)</f>
        <v>17.399999999999999</v>
      </c>
    </row>
    <row r="224" spans="1:14" x14ac:dyDescent="0.3">
      <c r="A224" s="33" t="s">
        <v>356</v>
      </c>
      <c r="B224" s="33" t="s">
        <v>326</v>
      </c>
      <c r="C224" s="33" t="s">
        <v>317</v>
      </c>
      <c r="D224" s="33" t="s">
        <v>340</v>
      </c>
      <c r="E224" s="33">
        <v>9277023818</v>
      </c>
      <c r="F224" s="33" t="s">
        <v>197</v>
      </c>
      <c r="G224" s="33" t="s">
        <v>171</v>
      </c>
      <c r="H224" s="33">
        <v>1235.32</v>
      </c>
      <c r="I224" s="33">
        <v>9</v>
      </c>
      <c r="J224" s="33">
        <v>2542.0700000000002</v>
      </c>
      <c r="K224" s="33" t="s">
        <v>353</v>
      </c>
      <c r="L224" s="33" cm="1">
        <f t="array" ref="L224">_xlfn.XLOOKUP(Table5[[#This Row],[Product]],Table5[Product],Table5[Price])*_xlfn.XLOOKUP(Table5[[#This Row],[Product]],Table5[Product],$I$206:$I$305)</f>
        <v>40080</v>
      </c>
      <c r="M224" s="37" t="str">
        <f t="shared" si="0"/>
        <v>High</v>
      </c>
      <c r="N224" s="33">
        <f>ROUND((Table5[[#This Row],[Profit]]/Table5[[#This Row],[Revenue Generated]])*100,2)</f>
        <v>6.34</v>
      </c>
    </row>
    <row r="225" spans="1:14" x14ac:dyDescent="0.3">
      <c r="A225" s="33" t="s">
        <v>357</v>
      </c>
      <c r="B225" s="33" t="s">
        <v>335</v>
      </c>
      <c r="C225" s="33" t="s">
        <v>317</v>
      </c>
      <c r="D225" s="33" t="s">
        <v>342</v>
      </c>
      <c r="E225" s="33">
        <v>9670448490</v>
      </c>
      <c r="F225" s="33" t="s">
        <v>322</v>
      </c>
      <c r="G225" s="33" t="s">
        <v>323</v>
      </c>
      <c r="H225" s="33">
        <v>2168.33</v>
      </c>
      <c r="I225" s="33">
        <v>3</v>
      </c>
      <c r="J225" s="33">
        <v>1394.93</v>
      </c>
      <c r="K225" s="33" t="s">
        <v>331</v>
      </c>
      <c r="L225" s="33" cm="1">
        <f t="array" ref="L225">_xlfn.XLOOKUP(Table5[[#This Row],[Product]],Table5[Product],Table5[Price])*_xlfn.XLOOKUP(Table5[[#This Row],[Product]],Table5[Product],$I$206:$I$305)</f>
        <v>21078.59</v>
      </c>
      <c r="M225" s="37" t="str">
        <f t="shared" si="0"/>
        <v>High</v>
      </c>
      <c r="N225" s="33">
        <f>ROUND((Table5[[#This Row],[Profit]]/Table5[[#This Row],[Revenue Generated]])*100,2)</f>
        <v>6.62</v>
      </c>
    </row>
    <row r="226" spans="1:14" x14ac:dyDescent="0.3">
      <c r="A226" s="33" t="s">
        <v>358</v>
      </c>
      <c r="B226" s="33" t="s">
        <v>335</v>
      </c>
      <c r="C226" s="33" t="s">
        <v>317</v>
      </c>
      <c r="D226" s="33" t="s">
        <v>327</v>
      </c>
      <c r="E226" s="33">
        <v>9123788207</v>
      </c>
      <c r="F226" s="33" t="s">
        <v>319</v>
      </c>
      <c r="G226" s="33" t="s">
        <v>352</v>
      </c>
      <c r="H226" s="33">
        <v>2654.54</v>
      </c>
      <c r="I226" s="33">
        <v>5</v>
      </c>
      <c r="J226" s="33">
        <v>3308.52</v>
      </c>
      <c r="K226" s="33" t="s">
        <v>353</v>
      </c>
      <c r="L226" s="33" cm="1">
        <f t="array" ref="L226">_xlfn.XLOOKUP(Table5[[#This Row],[Product]],Table5[Product],Table5[Price])*_xlfn.XLOOKUP(Table5[[#This Row],[Product]],Table5[Product],$I$206:$I$305)</f>
        <v>7420.41</v>
      </c>
      <c r="M226" s="37" t="str">
        <f t="shared" si="0"/>
        <v>Medium</v>
      </c>
      <c r="N226" s="33">
        <f>ROUND((Table5[[#This Row],[Profit]]/Table5[[#This Row],[Revenue Generated]])*100,2)</f>
        <v>44.59</v>
      </c>
    </row>
    <row r="227" spans="1:14" x14ac:dyDescent="0.3">
      <c r="A227" s="33" t="s">
        <v>359</v>
      </c>
      <c r="B227" s="33" t="s">
        <v>316</v>
      </c>
      <c r="C227" s="33" t="s">
        <v>317</v>
      </c>
      <c r="D227" s="33" t="s">
        <v>336</v>
      </c>
      <c r="E227" s="35">
        <v>99831923457</v>
      </c>
      <c r="F227" s="33" t="s">
        <v>197</v>
      </c>
      <c r="G227" s="33" t="s">
        <v>169</v>
      </c>
      <c r="H227" s="33">
        <v>1313.77</v>
      </c>
      <c r="I227" s="33">
        <v>7</v>
      </c>
      <c r="J227" s="33">
        <v>2435.5500000000002</v>
      </c>
      <c r="K227" s="33" t="s">
        <v>331</v>
      </c>
      <c r="L227" s="33" cm="1">
        <f t="array" ref="L227">_xlfn.XLOOKUP(Table5[[#This Row],[Product]],Table5[Product],Table5[Price])*_xlfn.XLOOKUP(Table5[[#This Row],[Product]],Table5[Product],$I$206:$I$305)</f>
        <v>9196.39</v>
      </c>
      <c r="M227" s="37" t="str">
        <f t="shared" si="0"/>
        <v>Medium</v>
      </c>
      <c r="N227" s="33">
        <f>ROUND((Table5[[#This Row],[Profit]]/Table5[[#This Row],[Revenue Generated]])*100,2)</f>
        <v>26.48</v>
      </c>
    </row>
    <row r="228" spans="1:14" x14ac:dyDescent="0.3">
      <c r="A228" s="33" t="s">
        <v>360</v>
      </c>
      <c r="B228" s="33" t="s">
        <v>335</v>
      </c>
      <c r="C228" s="33" t="s">
        <v>317</v>
      </c>
      <c r="D228" s="33" t="s">
        <v>342</v>
      </c>
      <c r="E228" s="33">
        <v>9822358874</v>
      </c>
      <c r="F228" s="33" t="s">
        <v>197</v>
      </c>
      <c r="G228" s="33" t="s">
        <v>226</v>
      </c>
      <c r="H228" s="33">
        <v>1602.24</v>
      </c>
      <c r="I228" s="33">
        <v>13</v>
      </c>
      <c r="J228" s="33">
        <v>3082.85</v>
      </c>
      <c r="K228" s="33" t="s">
        <v>353</v>
      </c>
      <c r="L228" s="33" cm="1">
        <f t="array" ref="L228">_xlfn.XLOOKUP(Table5[[#This Row],[Product]],Table5[Product],Table5[Price])*_xlfn.XLOOKUP(Table5[[#This Row],[Product]],Table5[Product],$I$206:$I$305)</f>
        <v>20278.72</v>
      </c>
      <c r="M228" s="37" t="str">
        <f t="shared" si="0"/>
        <v>High</v>
      </c>
      <c r="N228" s="33">
        <f>ROUND((Table5[[#This Row],[Profit]]/Table5[[#This Row],[Revenue Generated]])*100,2)</f>
        <v>15.2</v>
      </c>
    </row>
    <row r="229" spans="1:14" x14ac:dyDescent="0.3">
      <c r="A229" s="33" t="s">
        <v>361</v>
      </c>
      <c r="B229" s="33" t="s">
        <v>316</v>
      </c>
      <c r="C229" s="33" t="s">
        <v>317</v>
      </c>
      <c r="D229" s="33" t="s">
        <v>355</v>
      </c>
      <c r="E229" s="33">
        <v>9497595031</v>
      </c>
      <c r="F229" s="33" t="s">
        <v>322</v>
      </c>
      <c r="G229" s="33" t="s">
        <v>330</v>
      </c>
      <c r="H229" s="33">
        <v>592.33000000000004</v>
      </c>
      <c r="I229" s="33">
        <v>4</v>
      </c>
      <c r="J229" s="33">
        <v>539.64</v>
      </c>
      <c r="K229" s="33" t="s">
        <v>324</v>
      </c>
      <c r="L229" s="33" cm="1">
        <f t="array" ref="L229">_xlfn.XLOOKUP(Table5[[#This Row],[Product]],Table5[Product],Table5[Price])*_xlfn.XLOOKUP(Table5[[#This Row],[Product]],Table5[Product],$I$206:$I$305)</f>
        <v>5864.6500000000005</v>
      </c>
      <c r="M229" s="37" t="str">
        <f t="shared" si="0"/>
        <v>Medium</v>
      </c>
      <c r="N229" s="33">
        <f>ROUND((Table5[[#This Row],[Profit]]/Table5[[#This Row],[Revenue Generated]])*100,2)</f>
        <v>9.1999999999999993</v>
      </c>
    </row>
    <row r="230" spans="1:14" x14ac:dyDescent="0.3">
      <c r="A230" s="33" t="s">
        <v>362</v>
      </c>
      <c r="B230" s="33" t="s">
        <v>326</v>
      </c>
      <c r="C230" s="33" t="s">
        <v>317</v>
      </c>
      <c r="D230" s="33" t="s">
        <v>344</v>
      </c>
      <c r="E230" s="33">
        <v>9781615192</v>
      </c>
      <c r="F230" s="33" t="s">
        <v>197</v>
      </c>
      <c r="G230" s="33" t="s">
        <v>171</v>
      </c>
      <c r="H230" s="33">
        <v>589.14</v>
      </c>
      <c r="I230" s="33">
        <v>8</v>
      </c>
      <c r="J230" s="33">
        <v>1252.56</v>
      </c>
      <c r="K230" s="33" t="s">
        <v>331</v>
      </c>
      <c r="L230" s="33" cm="1">
        <f t="array" ref="L230">_xlfn.XLOOKUP(Table5[[#This Row],[Product]],Table5[Product],Table5[Price])*_xlfn.XLOOKUP(Table5[[#This Row],[Product]],Table5[Product],$I$206:$I$305)</f>
        <v>40080</v>
      </c>
      <c r="M230" s="37" t="str">
        <f t="shared" si="0"/>
        <v>High</v>
      </c>
      <c r="N230" s="33">
        <f>ROUND((Table5[[#This Row],[Profit]]/Table5[[#This Row],[Revenue Generated]])*100,2)</f>
        <v>3.13</v>
      </c>
    </row>
    <row r="231" spans="1:14" x14ac:dyDescent="0.3">
      <c r="A231" s="33" t="s">
        <v>363</v>
      </c>
      <c r="B231" s="33" t="s">
        <v>347</v>
      </c>
      <c r="C231" s="33" t="s">
        <v>317</v>
      </c>
      <c r="D231" s="33" t="s">
        <v>355</v>
      </c>
      <c r="E231" s="33">
        <v>9310431691</v>
      </c>
      <c r="F231" s="33" t="s">
        <v>322</v>
      </c>
      <c r="G231" s="33" t="s">
        <v>338</v>
      </c>
      <c r="H231" s="33">
        <v>2354.6</v>
      </c>
      <c r="I231" s="33">
        <v>4</v>
      </c>
      <c r="J231" s="33">
        <v>2575.4299999999998</v>
      </c>
      <c r="K231" s="33" t="s">
        <v>199</v>
      </c>
      <c r="L231" s="33" cm="1">
        <f t="array" ref="L231">_xlfn.XLOOKUP(Table5[[#This Row],[Product]],Table5[Product],Table5[Price])*_xlfn.XLOOKUP(Table5[[#This Row],[Product]],Table5[Product],$I$206:$I$305)</f>
        <v>1248.54</v>
      </c>
      <c r="M231" s="37" t="str">
        <f t="shared" si="0"/>
        <v>Low</v>
      </c>
      <c r="N231" s="33">
        <f>ROUND((Table5[[#This Row],[Profit]]/Table5[[#This Row],[Revenue Generated]])*100,2)</f>
        <v>206.28</v>
      </c>
    </row>
    <row r="232" spans="1:14" x14ac:dyDescent="0.3">
      <c r="A232" s="33" t="s">
        <v>364</v>
      </c>
      <c r="B232" s="33" t="s">
        <v>335</v>
      </c>
      <c r="C232" s="33" t="s">
        <v>317</v>
      </c>
      <c r="D232" s="33" t="s">
        <v>355</v>
      </c>
      <c r="E232" s="33">
        <v>9375633062</v>
      </c>
      <c r="F232" s="33" t="s">
        <v>197</v>
      </c>
      <c r="G232" s="33" t="s">
        <v>220</v>
      </c>
      <c r="H232" s="33">
        <v>1920.55</v>
      </c>
      <c r="I232" s="33">
        <v>6</v>
      </c>
      <c r="J232" s="33">
        <v>2254.59</v>
      </c>
      <c r="K232" s="33" t="s">
        <v>199</v>
      </c>
      <c r="L232" s="33" cm="1">
        <f t="array" ref="L232">_xlfn.XLOOKUP(Table5[[#This Row],[Product]],Table5[Product],Table5[Price])*_xlfn.XLOOKUP(Table5[[#This Row],[Product]],Table5[Product],$I$206:$I$305)</f>
        <v>11523.3</v>
      </c>
      <c r="M232" s="37" t="str">
        <f t="shared" si="0"/>
        <v>Medium</v>
      </c>
      <c r="N232" s="33">
        <f>ROUND((Table5[[#This Row],[Profit]]/Table5[[#This Row],[Revenue Generated]])*100,2)</f>
        <v>19.57</v>
      </c>
    </row>
    <row r="233" spans="1:14" x14ac:dyDescent="0.3">
      <c r="A233" s="33" t="s">
        <v>365</v>
      </c>
      <c r="B233" s="33" t="s">
        <v>335</v>
      </c>
      <c r="C233" s="33" t="s">
        <v>317</v>
      </c>
      <c r="D233" s="33" t="s">
        <v>327</v>
      </c>
      <c r="E233" s="33">
        <v>9958467371</v>
      </c>
      <c r="F233" s="33" t="s">
        <v>319</v>
      </c>
      <c r="G233" s="33" t="s">
        <v>218</v>
      </c>
      <c r="H233" s="33">
        <v>1086.4100000000001</v>
      </c>
      <c r="I233" s="33">
        <v>7</v>
      </c>
      <c r="J233" s="33">
        <v>2066.7600000000002</v>
      </c>
      <c r="K233" s="33" t="s">
        <v>199</v>
      </c>
      <c r="L233" s="33" cm="1">
        <f t="array" ref="L233">_xlfn.XLOOKUP(Table5[[#This Row],[Product]],Table5[Product],Table5[Price])*_xlfn.XLOOKUP(Table5[[#This Row],[Product]],Table5[Product],$I$206:$I$305)</f>
        <v>18630.080000000002</v>
      </c>
      <c r="M233" s="37" t="str">
        <f t="shared" si="0"/>
        <v>High</v>
      </c>
      <c r="N233" s="33">
        <f>ROUND((Table5[[#This Row],[Profit]]/Table5[[#This Row],[Revenue Generated]])*100,2)</f>
        <v>11.09</v>
      </c>
    </row>
    <row r="234" spans="1:14" x14ac:dyDescent="0.3">
      <c r="A234" s="33" t="s">
        <v>366</v>
      </c>
      <c r="B234" s="33" t="s">
        <v>335</v>
      </c>
      <c r="C234" s="33" t="s">
        <v>317</v>
      </c>
      <c r="D234" s="33" t="s">
        <v>327</v>
      </c>
      <c r="E234" s="33">
        <v>9485913642</v>
      </c>
      <c r="F234" s="33" t="s">
        <v>322</v>
      </c>
      <c r="G234" s="33" t="s">
        <v>258</v>
      </c>
      <c r="H234" s="33">
        <v>1181.07</v>
      </c>
      <c r="I234" s="33">
        <v>13</v>
      </c>
      <c r="J234" s="33">
        <v>3821.07</v>
      </c>
      <c r="K234" s="33" t="s">
        <v>331</v>
      </c>
      <c r="L234" s="33" cm="1">
        <f t="array" ref="L234">_xlfn.XLOOKUP(Table5[[#This Row],[Product]],Table5[Product],Table5[Price])*_xlfn.XLOOKUP(Table5[[#This Row],[Product]],Table5[Product],$I$206:$I$305)</f>
        <v>6960.09</v>
      </c>
      <c r="M234" s="37" t="str">
        <f t="shared" si="0"/>
        <v>Medium</v>
      </c>
      <c r="N234" s="33">
        <f>ROUND((Table5[[#This Row],[Profit]]/Table5[[#This Row],[Revenue Generated]])*100,2)</f>
        <v>54.9</v>
      </c>
    </row>
    <row r="235" spans="1:14" x14ac:dyDescent="0.3">
      <c r="A235" s="33" t="s">
        <v>367</v>
      </c>
      <c r="B235" s="33" t="s">
        <v>335</v>
      </c>
      <c r="C235" s="33" t="s">
        <v>317</v>
      </c>
      <c r="D235" s="33" t="s">
        <v>355</v>
      </c>
      <c r="E235" s="33">
        <v>9942727052</v>
      </c>
      <c r="F235" s="33" t="s">
        <v>322</v>
      </c>
      <c r="G235" s="33" t="s">
        <v>368</v>
      </c>
      <c r="H235" s="33">
        <v>2521.1999999999998</v>
      </c>
      <c r="I235" s="33">
        <v>8</v>
      </c>
      <c r="J235" s="34">
        <v>6046.68</v>
      </c>
      <c r="K235" s="33" t="s">
        <v>199</v>
      </c>
      <c r="L235" s="33" cm="1">
        <f t="array" ref="L235">_xlfn.XLOOKUP(Table5[[#This Row],[Product]],Table5[Product],Table5[Price])*_xlfn.XLOOKUP(Table5[[#This Row],[Product]],Table5[Product],$I$206:$I$305)</f>
        <v>20169.599999999999</v>
      </c>
      <c r="M235" s="37" t="str">
        <f t="shared" si="0"/>
        <v>High</v>
      </c>
      <c r="N235" s="33">
        <f>ROUND((Table5[[#This Row],[Profit]]/Table5[[#This Row],[Revenue Generated]])*100,2)</f>
        <v>29.98</v>
      </c>
    </row>
    <row r="236" spans="1:14" x14ac:dyDescent="0.3">
      <c r="A236" s="33" t="s">
        <v>369</v>
      </c>
      <c r="B236" s="33" t="s">
        <v>326</v>
      </c>
      <c r="C236" s="33" t="s">
        <v>317</v>
      </c>
      <c r="D236" s="33" t="s">
        <v>342</v>
      </c>
      <c r="E236" s="33">
        <v>9164209990</v>
      </c>
      <c r="F236" s="33" t="s">
        <v>319</v>
      </c>
      <c r="G236" s="33" t="s">
        <v>211</v>
      </c>
      <c r="H236" s="33">
        <v>1741.71</v>
      </c>
      <c r="I236" s="33">
        <v>15</v>
      </c>
      <c r="J236" s="33">
        <v>4026.14</v>
      </c>
      <c r="K236" s="33" t="s">
        <v>214</v>
      </c>
      <c r="L236" s="33" cm="1">
        <f t="array" ref="L236">_xlfn.XLOOKUP(Table5[[#This Row],[Product]],Table5[Product],Table5[Price])*_xlfn.XLOOKUP(Table5[[#This Row],[Product]],Table5[Product],$I$206:$I$305)</f>
        <v>31948.28</v>
      </c>
      <c r="M236" s="37" t="str">
        <f t="shared" si="0"/>
        <v>High</v>
      </c>
      <c r="N236" s="33">
        <f>ROUND((Table5[[#This Row],[Profit]]/Table5[[#This Row],[Revenue Generated]])*100,2)</f>
        <v>12.6</v>
      </c>
    </row>
    <row r="237" spans="1:14" x14ac:dyDescent="0.3">
      <c r="A237" s="33" t="s">
        <v>370</v>
      </c>
      <c r="B237" s="33" t="s">
        <v>326</v>
      </c>
      <c r="C237" s="33" t="s">
        <v>317</v>
      </c>
      <c r="D237" s="33" t="s">
        <v>355</v>
      </c>
      <c r="E237" s="33">
        <v>9972130283</v>
      </c>
      <c r="F237" s="33" t="s">
        <v>322</v>
      </c>
      <c r="G237" s="33" t="s">
        <v>330</v>
      </c>
      <c r="H237" s="33">
        <v>1691.18</v>
      </c>
      <c r="I237" s="33">
        <v>9</v>
      </c>
      <c r="J237" s="33">
        <v>3286.83</v>
      </c>
      <c r="K237" s="33" t="s">
        <v>324</v>
      </c>
      <c r="L237" s="33" cm="1">
        <f t="array" ref="L237">_xlfn.XLOOKUP(Table5[[#This Row],[Product]],Table5[Product],Table5[Price])*_xlfn.XLOOKUP(Table5[[#This Row],[Product]],Table5[Product],$I$206:$I$305)</f>
        <v>5864.6500000000005</v>
      </c>
      <c r="M237" s="37" t="str">
        <f t="shared" si="0"/>
        <v>Medium</v>
      </c>
      <c r="N237" s="33">
        <f>ROUND((Table5[[#This Row],[Profit]]/Table5[[#This Row],[Revenue Generated]])*100,2)</f>
        <v>56.04</v>
      </c>
    </row>
    <row r="238" spans="1:14" x14ac:dyDescent="0.3">
      <c r="A238" s="33" t="s">
        <v>371</v>
      </c>
      <c r="B238" s="33" t="s">
        <v>326</v>
      </c>
      <c r="C238" s="33" t="s">
        <v>317</v>
      </c>
      <c r="D238" s="33" t="s">
        <v>355</v>
      </c>
      <c r="E238" s="33">
        <v>9305312346</v>
      </c>
      <c r="F238" s="33" t="s">
        <v>319</v>
      </c>
      <c r="G238" s="33" t="s">
        <v>352</v>
      </c>
      <c r="H238" s="33">
        <v>2430.4899999999998</v>
      </c>
      <c r="I238" s="33">
        <v>1</v>
      </c>
      <c r="J238" s="33">
        <v>538.34</v>
      </c>
      <c r="K238" s="33" t="s">
        <v>353</v>
      </c>
      <c r="L238" s="33" cm="1">
        <f t="array" ref="L238">_xlfn.XLOOKUP(Table5[[#This Row],[Product]],Table5[Product],Table5[Price])*_xlfn.XLOOKUP(Table5[[#This Row],[Product]],Table5[Product],$I$206:$I$305)</f>
        <v>7420.41</v>
      </c>
      <c r="M238" s="37" t="str">
        <f t="shared" si="0"/>
        <v>Medium</v>
      </c>
      <c r="N238" s="33">
        <f>ROUND((Table5[[#This Row],[Profit]]/Table5[[#This Row],[Revenue Generated]])*100,2)</f>
        <v>7.25</v>
      </c>
    </row>
    <row r="239" spans="1:14" x14ac:dyDescent="0.3">
      <c r="A239" s="33" t="s">
        <v>372</v>
      </c>
      <c r="B239" s="33" t="s">
        <v>316</v>
      </c>
      <c r="C239" s="33" t="s">
        <v>317</v>
      </c>
      <c r="D239" s="33" t="s">
        <v>355</v>
      </c>
      <c r="E239" s="33">
        <v>9403336927</v>
      </c>
      <c r="F239" s="33" t="s">
        <v>319</v>
      </c>
      <c r="G239" s="33" t="s">
        <v>218</v>
      </c>
      <c r="H239" s="33">
        <v>1937.5</v>
      </c>
      <c r="I239" s="33">
        <v>10</v>
      </c>
      <c r="J239" s="33">
        <v>2548.08</v>
      </c>
      <c r="K239" s="33" t="s">
        <v>214</v>
      </c>
      <c r="L239" s="33" cm="1">
        <f t="array" ref="L239">_xlfn.XLOOKUP(Table5[[#This Row],[Product]],Table5[Product],Table5[Price])*_xlfn.XLOOKUP(Table5[[#This Row],[Product]],Table5[Product],$I$206:$I$305)</f>
        <v>18630.080000000002</v>
      </c>
      <c r="M239" s="37" t="str">
        <f t="shared" si="0"/>
        <v>High</v>
      </c>
      <c r="N239" s="33">
        <f>ROUND((Table5[[#This Row],[Profit]]/Table5[[#This Row],[Revenue Generated]])*100,2)</f>
        <v>13.68</v>
      </c>
    </row>
    <row r="240" spans="1:14" x14ac:dyDescent="0.3">
      <c r="A240" s="33" t="s">
        <v>373</v>
      </c>
      <c r="B240" s="33" t="s">
        <v>347</v>
      </c>
      <c r="C240" s="33" t="s">
        <v>317</v>
      </c>
      <c r="D240" s="33" t="s">
        <v>318</v>
      </c>
      <c r="E240" s="33">
        <v>9209432112</v>
      </c>
      <c r="F240" s="33" t="s">
        <v>319</v>
      </c>
      <c r="G240" s="33" t="s">
        <v>328</v>
      </c>
      <c r="H240" s="33">
        <v>2848.61</v>
      </c>
      <c r="I240" s="33">
        <v>15</v>
      </c>
      <c r="J240" s="34">
        <v>6188.69</v>
      </c>
      <c r="K240" s="33" t="s">
        <v>353</v>
      </c>
      <c r="L240" s="33" cm="1">
        <f t="array" ref="L240">_xlfn.XLOOKUP(Table5[[#This Row],[Product]],Table5[Product],Table5[Price])*_xlfn.XLOOKUP(Table5[[#This Row],[Product]],Table5[Product],$I$206:$I$305)</f>
        <v>1363.73</v>
      </c>
      <c r="M240" s="37" t="str">
        <f t="shared" si="0"/>
        <v>Low</v>
      </c>
      <c r="N240" s="33">
        <f>ROUND((Table5[[#This Row],[Profit]]/Table5[[#This Row],[Revenue Generated]])*100,2)</f>
        <v>453.81</v>
      </c>
    </row>
    <row r="241" spans="1:14" x14ac:dyDescent="0.3">
      <c r="A241" s="33" t="s">
        <v>374</v>
      </c>
      <c r="B241" s="33" t="s">
        <v>347</v>
      </c>
      <c r="C241" s="33" t="s">
        <v>317</v>
      </c>
      <c r="D241" s="33" t="s">
        <v>340</v>
      </c>
      <c r="E241" s="35">
        <v>92886736565</v>
      </c>
      <c r="F241" s="33" t="s">
        <v>322</v>
      </c>
      <c r="G241" s="33" t="s">
        <v>368</v>
      </c>
      <c r="H241" s="33">
        <v>537.01</v>
      </c>
      <c r="I241" s="33">
        <v>15</v>
      </c>
      <c r="J241" s="33">
        <v>848.33</v>
      </c>
      <c r="K241" s="33" t="s">
        <v>353</v>
      </c>
      <c r="L241" s="33" cm="1">
        <f t="array" ref="L241">_xlfn.XLOOKUP(Table5[[#This Row],[Product]],Table5[Product],Table5[Price])*_xlfn.XLOOKUP(Table5[[#This Row],[Product]],Table5[Product],$I$206:$I$305)</f>
        <v>20169.599999999999</v>
      </c>
      <c r="M241" s="37" t="str">
        <f t="shared" si="0"/>
        <v>High</v>
      </c>
      <c r="N241" s="33">
        <f>ROUND((Table5[[#This Row],[Profit]]/Table5[[#This Row],[Revenue Generated]])*100,2)</f>
        <v>4.21</v>
      </c>
    </row>
    <row r="242" spans="1:14" x14ac:dyDescent="0.3">
      <c r="A242" s="33" t="s">
        <v>375</v>
      </c>
      <c r="B242" s="33" t="s">
        <v>335</v>
      </c>
      <c r="C242" s="33" t="s">
        <v>317</v>
      </c>
      <c r="D242" s="33" t="s">
        <v>318</v>
      </c>
      <c r="E242" s="33">
        <v>9696039067</v>
      </c>
      <c r="F242" s="33" t="s">
        <v>322</v>
      </c>
      <c r="G242" s="33" t="s">
        <v>330</v>
      </c>
      <c r="H242" s="33">
        <v>2052.79</v>
      </c>
      <c r="I242" s="33">
        <v>1</v>
      </c>
      <c r="J242" s="33">
        <v>296.79000000000002</v>
      </c>
      <c r="K242" s="33" t="s">
        <v>324</v>
      </c>
      <c r="L242" s="33" cm="1">
        <f t="array" ref="L242">_xlfn.XLOOKUP(Table5[[#This Row],[Product]],Table5[Product],Table5[Price])*_xlfn.XLOOKUP(Table5[[#This Row],[Product]],Table5[Product],$I$206:$I$305)</f>
        <v>5864.6500000000005</v>
      </c>
      <c r="M242" s="37" t="str">
        <f t="shared" si="0"/>
        <v>Medium</v>
      </c>
      <c r="N242" s="33">
        <f>ROUND((Table5[[#This Row],[Profit]]/Table5[[#This Row],[Revenue Generated]])*100,2)</f>
        <v>5.0599999999999996</v>
      </c>
    </row>
    <row r="243" spans="1:14" x14ac:dyDescent="0.3">
      <c r="A243" s="33" t="s">
        <v>376</v>
      </c>
      <c r="B243" s="33" t="s">
        <v>335</v>
      </c>
      <c r="C243" s="33" t="s">
        <v>317</v>
      </c>
      <c r="D243" s="33" t="s">
        <v>340</v>
      </c>
      <c r="E243" s="33">
        <v>9729755086</v>
      </c>
      <c r="F243" s="33" t="s">
        <v>319</v>
      </c>
      <c r="G243" s="33" t="s">
        <v>352</v>
      </c>
      <c r="H243" s="33">
        <v>1708.1</v>
      </c>
      <c r="I243" s="33">
        <v>3</v>
      </c>
      <c r="J243" s="33">
        <v>897.22</v>
      </c>
      <c r="K243" s="33" t="s">
        <v>199</v>
      </c>
      <c r="L243" s="33" cm="1">
        <f t="array" ref="L243">_xlfn.XLOOKUP(Table5[[#This Row],[Product]],Table5[Product],Table5[Price])*_xlfn.XLOOKUP(Table5[[#This Row],[Product]],Table5[Product],$I$206:$I$305)</f>
        <v>7420.41</v>
      </c>
      <c r="M243" s="37" t="str">
        <f t="shared" si="0"/>
        <v>Medium</v>
      </c>
      <c r="N243" s="33">
        <f>ROUND((Table5[[#This Row],[Profit]]/Table5[[#This Row],[Revenue Generated]])*100,2)</f>
        <v>12.09</v>
      </c>
    </row>
    <row r="244" spans="1:14" x14ac:dyDescent="0.3">
      <c r="A244" s="33" t="s">
        <v>377</v>
      </c>
      <c r="B244" s="33" t="s">
        <v>335</v>
      </c>
      <c r="C244" s="33" t="s">
        <v>317</v>
      </c>
      <c r="D244" s="33" t="s">
        <v>355</v>
      </c>
      <c r="E244" s="33">
        <v>9291717779</v>
      </c>
      <c r="F244" s="33" t="s">
        <v>197</v>
      </c>
      <c r="G244" s="33" t="s">
        <v>226</v>
      </c>
      <c r="H244" s="33">
        <v>1616.55</v>
      </c>
      <c r="I244" s="33">
        <v>14</v>
      </c>
      <c r="J244" s="34">
        <v>6621.29</v>
      </c>
      <c r="K244" s="33" t="s">
        <v>199</v>
      </c>
      <c r="L244" s="33" cm="1">
        <f t="array" ref="L244">_xlfn.XLOOKUP(Table5[[#This Row],[Product]],Table5[Product],Table5[Price])*_xlfn.XLOOKUP(Table5[[#This Row],[Product]],Table5[Product],$I$206:$I$305)</f>
        <v>20278.72</v>
      </c>
      <c r="M244" s="37" t="str">
        <f t="shared" si="0"/>
        <v>High</v>
      </c>
      <c r="N244" s="33">
        <f>ROUND((Table5[[#This Row],[Profit]]/Table5[[#This Row],[Revenue Generated]])*100,2)</f>
        <v>32.65</v>
      </c>
    </row>
    <row r="245" spans="1:14" x14ac:dyDescent="0.3">
      <c r="A245" s="33" t="s">
        <v>378</v>
      </c>
      <c r="B245" s="33" t="s">
        <v>335</v>
      </c>
      <c r="C245" s="33" t="s">
        <v>317</v>
      </c>
      <c r="D245" s="33" t="s">
        <v>318</v>
      </c>
      <c r="E245" s="33">
        <v>9596984707</v>
      </c>
      <c r="F245" s="33" t="s">
        <v>319</v>
      </c>
      <c r="G245" s="33" t="s">
        <v>211</v>
      </c>
      <c r="H245" s="33">
        <v>1774.62</v>
      </c>
      <c r="I245" s="33">
        <v>7</v>
      </c>
      <c r="J245" s="33">
        <v>3378.16</v>
      </c>
      <c r="K245" s="33" t="s">
        <v>199</v>
      </c>
      <c r="L245" s="33" cm="1">
        <f t="array" ref="L245">_xlfn.XLOOKUP(Table5[[#This Row],[Product]],Table5[Product],Table5[Price])*_xlfn.XLOOKUP(Table5[[#This Row],[Product]],Table5[Product],$I$206:$I$305)</f>
        <v>31948.28</v>
      </c>
      <c r="M245" s="37" t="str">
        <f t="shared" si="0"/>
        <v>High</v>
      </c>
      <c r="N245" s="33">
        <f>ROUND((Table5[[#This Row],[Profit]]/Table5[[#This Row],[Revenue Generated]])*100,2)</f>
        <v>10.57</v>
      </c>
    </row>
    <row r="246" spans="1:14" x14ac:dyDescent="0.3">
      <c r="A246" s="33" t="s">
        <v>379</v>
      </c>
      <c r="B246" s="33" t="s">
        <v>326</v>
      </c>
      <c r="C246" s="33" t="s">
        <v>317</v>
      </c>
      <c r="D246" s="33" t="s">
        <v>342</v>
      </c>
      <c r="E246" s="33">
        <v>9621477109</v>
      </c>
      <c r="F246" s="33" t="s">
        <v>197</v>
      </c>
      <c r="G246" s="33" t="s">
        <v>220</v>
      </c>
      <c r="H246" s="33">
        <v>644.14</v>
      </c>
      <c r="I246" s="33">
        <v>12</v>
      </c>
      <c r="J246" s="33">
        <v>988.52</v>
      </c>
      <c r="K246" s="33" t="s">
        <v>331</v>
      </c>
      <c r="L246" s="33" cm="1">
        <f t="array" ref="L246">_xlfn.XLOOKUP(Table5[[#This Row],[Product]],Table5[Product],Table5[Price])*_xlfn.XLOOKUP(Table5[[#This Row],[Product]],Table5[Product],$I$206:$I$305)</f>
        <v>11523.3</v>
      </c>
      <c r="M246" s="37" t="str">
        <f t="shared" si="0"/>
        <v>Medium</v>
      </c>
      <c r="N246" s="33">
        <f>ROUND((Table5[[#This Row],[Profit]]/Table5[[#This Row],[Revenue Generated]])*100,2)</f>
        <v>8.58</v>
      </c>
    </row>
    <row r="247" spans="1:14" x14ac:dyDescent="0.3">
      <c r="A247" s="33" t="s">
        <v>380</v>
      </c>
      <c r="B247" s="33" t="s">
        <v>326</v>
      </c>
      <c r="C247" s="33" t="s">
        <v>317</v>
      </c>
      <c r="D247" s="33" t="s">
        <v>327</v>
      </c>
      <c r="E247" s="33">
        <v>9813614929</v>
      </c>
      <c r="F247" s="33" t="s">
        <v>322</v>
      </c>
      <c r="G247" s="33" t="s">
        <v>330</v>
      </c>
      <c r="H247" s="33">
        <v>1767.47</v>
      </c>
      <c r="I247" s="33">
        <v>13</v>
      </c>
      <c r="J247" s="33">
        <v>3353.4</v>
      </c>
      <c r="K247" s="33" t="s">
        <v>214</v>
      </c>
      <c r="L247" s="33" cm="1">
        <f t="array" ref="L247">_xlfn.XLOOKUP(Table5[[#This Row],[Product]],Table5[Product],Table5[Price])*_xlfn.XLOOKUP(Table5[[#This Row],[Product]],Table5[Product],$I$206:$I$305)</f>
        <v>5864.6500000000005</v>
      </c>
      <c r="M247" s="37" t="str">
        <f t="shared" si="0"/>
        <v>Medium</v>
      </c>
      <c r="N247" s="33">
        <f>ROUND((Table5[[#This Row],[Profit]]/Table5[[#This Row],[Revenue Generated]])*100,2)</f>
        <v>57.18</v>
      </c>
    </row>
    <row r="248" spans="1:14" x14ac:dyDescent="0.3">
      <c r="A248" s="33" t="s">
        <v>381</v>
      </c>
      <c r="B248" s="33" t="s">
        <v>335</v>
      </c>
      <c r="C248" s="33" t="s">
        <v>317</v>
      </c>
      <c r="D248" s="33" t="s">
        <v>336</v>
      </c>
      <c r="E248" s="33">
        <v>9314930259</v>
      </c>
      <c r="F248" s="33" t="s">
        <v>319</v>
      </c>
      <c r="G248" s="33" t="s">
        <v>218</v>
      </c>
      <c r="H248" s="33">
        <v>2506.6</v>
      </c>
      <c r="I248" s="33">
        <v>11</v>
      </c>
      <c r="J248" s="34">
        <v>8011.16</v>
      </c>
      <c r="K248" s="33" t="s">
        <v>214</v>
      </c>
      <c r="L248" s="33" cm="1">
        <f t="array" ref="L248">_xlfn.XLOOKUP(Table5[[#This Row],[Product]],Table5[Product],Table5[Price])*_xlfn.XLOOKUP(Table5[[#This Row],[Product]],Table5[Product],$I$206:$I$305)</f>
        <v>18630.080000000002</v>
      </c>
      <c r="M248" s="37" t="str">
        <f t="shared" si="0"/>
        <v>High</v>
      </c>
      <c r="N248" s="33">
        <f>ROUND((Table5[[#This Row],[Profit]]/Table5[[#This Row],[Revenue Generated]])*100,2)</f>
        <v>43</v>
      </c>
    </row>
    <row r="249" spans="1:14" x14ac:dyDescent="0.3">
      <c r="A249" s="33" t="s">
        <v>382</v>
      </c>
      <c r="B249" s="33" t="s">
        <v>316</v>
      </c>
      <c r="C249" s="33" t="s">
        <v>317</v>
      </c>
      <c r="D249" s="33" t="s">
        <v>327</v>
      </c>
      <c r="E249" s="35">
        <v>93262535688</v>
      </c>
      <c r="F249" s="33" t="s">
        <v>197</v>
      </c>
      <c r="G249" s="33" t="s">
        <v>254</v>
      </c>
      <c r="H249" s="33">
        <v>727.87</v>
      </c>
      <c r="I249" s="33">
        <v>2</v>
      </c>
      <c r="J249" s="33">
        <v>385.93</v>
      </c>
      <c r="K249" s="33" t="s">
        <v>199</v>
      </c>
      <c r="L249" s="33" cm="1">
        <f t="array" ref="L249">_xlfn.XLOOKUP(Table5[[#This Row],[Product]],Table5[Product],Table5[Price])*_xlfn.XLOOKUP(Table5[[#This Row],[Product]],Table5[Product],$I$206:$I$305)</f>
        <v>2338.56</v>
      </c>
      <c r="M249" s="37" t="str">
        <f t="shared" si="0"/>
        <v>Low</v>
      </c>
      <c r="N249" s="33">
        <f>ROUND((Table5[[#This Row],[Profit]]/Table5[[#This Row],[Revenue Generated]])*100,2)</f>
        <v>16.5</v>
      </c>
    </row>
    <row r="250" spans="1:14" x14ac:dyDescent="0.3">
      <c r="A250" s="33" t="s">
        <v>383</v>
      </c>
      <c r="B250" s="33" t="s">
        <v>316</v>
      </c>
      <c r="C250" s="33" t="s">
        <v>317</v>
      </c>
      <c r="D250" s="33" t="s">
        <v>355</v>
      </c>
      <c r="E250" s="33">
        <v>9922473225</v>
      </c>
      <c r="F250" s="33" t="s">
        <v>322</v>
      </c>
      <c r="G250" s="33" t="s">
        <v>330</v>
      </c>
      <c r="H250" s="33">
        <v>2509.39</v>
      </c>
      <c r="I250" s="33">
        <v>4</v>
      </c>
      <c r="J250" s="33">
        <v>2607.48</v>
      </c>
      <c r="K250" s="33" t="s">
        <v>199</v>
      </c>
      <c r="L250" s="33" cm="1">
        <f t="array" ref="L250">_xlfn.XLOOKUP(Table5[[#This Row],[Product]],Table5[Product],Table5[Price])*_xlfn.XLOOKUP(Table5[[#This Row],[Product]],Table5[Product],$I$206:$I$305)</f>
        <v>5864.6500000000005</v>
      </c>
      <c r="M250" s="37" t="str">
        <f t="shared" si="0"/>
        <v>Medium</v>
      </c>
      <c r="N250" s="33">
        <f>ROUND((Table5[[#This Row],[Profit]]/Table5[[#This Row],[Revenue Generated]])*100,2)</f>
        <v>44.46</v>
      </c>
    </row>
    <row r="251" spans="1:14" x14ac:dyDescent="0.3">
      <c r="A251" s="33" t="s">
        <v>384</v>
      </c>
      <c r="B251" s="33" t="s">
        <v>347</v>
      </c>
      <c r="C251" s="33" t="s">
        <v>317</v>
      </c>
      <c r="D251" s="33" t="s">
        <v>344</v>
      </c>
      <c r="E251" s="33">
        <v>9435049619</v>
      </c>
      <c r="F251" s="33" t="s">
        <v>197</v>
      </c>
      <c r="G251" s="33" t="s">
        <v>171</v>
      </c>
      <c r="H251" s="33">
        <v>254.27</v>
      </c>
      <c r="I251" s="33">
        <v>5</v>
      </c>
      <c r="J251" s="33">
        <v>247.89</v>
      </c>
      <c r="K251" s="33" t="s">
        <v>324</v>
      </c>
      <c r="L251" s="33" cm="1">
        <f t="array" ref="L251">_xlfn.XLOOKUP(Table5[[#This Row],[Product]],Table5[Product],Table5[Price])*_xlfn.XLOOKUP(Table5[[#This Row],[Product]],Table5[Product],$I$206:$I$305)</f>
        <v>40080</v>
      </c>
      <c r="M251" s="37" t="str">
        <f t="shared" si="0"/>
        <v>High</v>
      </c>
      <c r="N251" s="33">
        <f>ROUND((Table5[[#This Row],[Profit]]/Table5[[#This Row],[Revenue Generated]])*100,2)</f>
        <v>0.62</v>
      </c>
    </row>
    <row r="252" spans="1:14" x14ac:dyDescent="0.3">
      <c r="A252" s="33" t="s">
        <v>385</v>
      </c>
      <c r="B252" s="33" t="s">
        <v>335</v>
      </c>
      <c r="C252" s="33" t="s">
        <v>317</v>
      </c>
      <c r="D252" s="33" t="s">
        <v>355</v>
      </c>
      <c r="E252" s="33">
        <v>9139717689</v>
      </c>
      <c r="F252" s="33" t="s">
        <v>197</v>
      </c>
      <c r="G252" s="33" t="s">
        <v>254</v>
      </c>
      <c r="H252" s="33">
        <v>1104.23</v>
      </c>
      <c r="I252" s="33">
        <v>11</v>
      </c>
      <c r="J252" s="33">
        <v>1883.37</v>
      </c>
      <c r="K252" s="33" t="s">
        <v>199</v>
      </c>
      <c r="L252" s="33" cm="1">
        <f t="array" ref="L252">_xlfn.XLOOKUP(Table5[[#This Row],[Product]],Table5[Product],Table5[Price])*_xlfn.XLOOKUP(Table5[[#This Row],[Product]],Table5[Product],$I$206:$I$305)</f>
        <v>2338.56</v>
      </c>
      <c r="M252" s="37" t="str">
        <f t="shared" si="0"/>
        <v>Low</v>
      </c>
      <c r="N252" s="33">
        <f>ROUND((Table5[[#This Row],[Profit]]/Table5[[#This Row],[Revenue Generated]])*100,2)</f>
        <v>80.540000000000006</v>
      </c>
    </row>
    <row r="253" spans="1:14" x14ac:dyDescent="0.3">
      <c r="A253" s="33" t="s">
        <v>386</v>
      </c>
      <c r="B253" s="33" t="s">
        <v>326</v>
      </c>
      <c r="C253" s="33" t="s">
        <v>317</v>
      </c>
      <c r="D253" s="33" t="s">
        <v>327</v>
      </c>
      <c r="E253" s="33">
        <v>9873282041</v>
      </c>
      <c r="F253" s="33" t="s">
        <v>197</v>
      </c>
      <c r="G253" s="33" t="s">
        <v>169</v>
      </c>
      <c r="H253" s="33">
        <v>861.53</v>
      </c>
      <c r="I253" s="33">
        <v>3</v>
      </c>
      <c r="J253" s="33">
        <v>482.01</v>
      </c>
      <c r="K253" s="33" t="s">
        <v>353</v>
      </c>
      <c r="L253" s="33" cm="1">
        <f t="array" ref="L253">_xlfn.XLOOKUP(Table5[[#This Row],[Product]],Table5[Product],Table5[Price])*_xlfn.XLOOKUP(Table5[[#This Row],[Product]],Table5[Product],$I$206:$I$305)</f>
        <v>9196.39</v>
      </c>
      <c r="M253" s="37" t="str">
        <f t="shared" si="0"/>
        <v>Medium</v>
      </c>
      <c r="N253" s="33">
        <f>ROUND((Table5[[#This Row],[Profit]]/Table5[[#This Row],[Revenue Generated]])*100,2)</f>
        <v>5.24</v>
      </c>
    </row>
    <row r="254" spans="1:14" x14ac:dyDescent="0.3">
      <c r="A254" s="33" t="s">
        <v>387</v>
      </c>
      <c r="B254" s="33" t="s">
        <v>347</v>
      </c>
      <c r="C254" s="33" t="s">
        <v>317</v>
      </c>
      <c r="D254" s="33" t="s">
        <v>327</v>
      </c>
      <c r="E254" s="33">
        <v>9520705759</v>
      </c>
      <c r="F254" s="33" t="s">
        <v>319</v>
      </c>
      <c r="G254" s="33" t="s">
        <v>328</v>
      </c>
      <c r="H254" s="33">
        <v>940.76</v>
      </c>
      <c r="I254" s="33">
        <v>4</v>
      </c>
      <c r="J254" s="33">
        <v>842.47</v>
      </c>
      <c r="K254" s="33" t="s">
        <v>353</v>
      </c>
      <c r="L254" s="33" cm="1">
        <f t="array" ref="L254">_xlfn.XLOOKUP(Table5[[#This Row],[Product]],Table5[Product],Table5[Price])*_xlfn.XLOOKUP(Table5[[#This Row],[Product]],Table5[Product],$I$206:$I$305)</f>
        <v>1363.73</v>
      </c>
      <c r="M254" s="37" t="str">
        <f t="shared" si="0"/>
        <v>Low</v>
      </c>
      <c r="N254" s="33">
        <f>ROUND((Table5[[#This Row],[Profit]]/Table5[[#This Row],[Revenue Generated]])*100,2)</f>
        <v>61.78</v>
      </c>
    </row>
    <row r="255" spans="1:14" x14ac:dyDescent="0.3">
      <c r="A255" s="33" t="s">
        <v>388</v>
      </c>
      <c r="B255" s="33" t="s">
        <v>335</v>
      </c>
      <c r="C255" s="33" t="s">
        <v>317</v>
      </c>
      <c r="D255" s="33" t="s">
        <v>327</v>
      </c>
      <c r="E255" s="33">
        <v>9648648568</v>
      </c>
      <c r="F255" s="33" t="s">
        <v>319</v>
      </c>
      <c r="G255" s="33" t="s">
        <v>328</v>
      </c>
      <c r="H255" s="33">
        <v>1505.5</v>
      </c>
      <c r="I255" s="33">
        <v>11</v>
      </c>
      <c r="J255" s="33">
        <v>3985.19</v>
      </c>
      <c r="K255" s="33" t="s">
        <v>353</v>
      </c>
      <c r="L255" s="33" cm="1">
        <f t="array" ref="L255">_xlfn.XLOOKUP(Table5[[#This Row],[Product]],Table5[Product],Table5[Price])*_xlfn.XLOOKUP(Table5[[#This Row],[Product]],Table5[Product],$I$206:$I$305)</f>
        <v>1363.73</v>
      </c>
      <c r="M255" s="37" t="str">
        <f t="shared" si="0"/>
        <v>Low</v>
      </c>
      <c r="N255" s="33">
        <f>ROUND((Table5[[#This Row],[Profit]]/Table5[[#This Row],[Revenue Generated]])*100,2)</f>
        <v>292.23</v>
      </c>
    </row>
    <row r="256" spans="1:14" x14ac:dyDescent="0.3">
      <c r="A256" s="33" t="s">
        <v>389</v>
      </c>
      <c r="B256" s="33" t="s">
        <v>316</v>
      </c>
      <c r="C256" s="33" t="s">
        <v>317</v>
      </c>
      <c r="D256" s="33" t="s">
        <v>355</v>
      </c>
      <c r="E256" s="33">
        <v>9416435713</v>
      </c>
      <c r="F256" s="33" t="s">
        <v>319</v>
      </c>
      <c r="G256" s="33" t="s">
        <v>211</v>
      </c>
      <c r="H256" s="33">
        <v>1477.49</v>
      </c>
      <c r="I256" s="33">
        <v>11</v>
      </c>
      <c r="J256" s="33">
        <v>2428.98</v>
      </c>
      <c r="K256" s="33" t="s">
        <v>199</v>
      </c>
      <c r="L256" s="33" cm="1">
        <f t="array" ref="L256">_xlfn.XLOOKUP(Table5[[#This Row],[Product]],Table5[Product],Table5[Price])*_xlfn.XLOOKUP(Table5[[#This Row],[Product]],Table5[Product],$I$206:$I$305)</f>
        <v>31948.28</v>
      </c>
      <c r="M256" s="37" t="str">
        <f t="shared" si="0"/>
        <v>High</v>
      </c>
      <c r="N256" s="33">
        <f>ROUND((Table5[[#This Row],[Profit]]/Table5[[#This Row],[Revenue Generated]])*100,2)</f>
        <v>7.6</v>
      </c>
    </row>
    <row r="257" spans="1:14" x14ac:dyDescent="0.3">
      <c r="A257" s="33" t="s">
        <v>390</v>
      </c>
      <c r="B257" s="33" t="s">
        <v>335</v>
      </c>
      <c r="C257" s="33" t="s">
        <v>317</v>
      </c>
      <c r="D257" s="33" t="s">
        <v>344</v>
      </c>
      <c r="E257" s="33">
        <v>9211381294</v>
      </c>
      <c r="F257" s="33" t="s">
        <v>322</v>
      </c>
      <c r="G257" s="33" t="s">
        <v>338</v>
      </c>
      <c r="H257" s="33">
        <v>704.64</v>
      </c>
      <c r="I257" s="33">
        <v>2</v>
      </c>
      <c r="J257" s="33">
        <v>163.57</v>
      </c>
      <c r="K257" s="33" t="s">
        <v>214</v>
      </c>
      <c r="L257" s="33" cm="1">
        <f t="array" ref="L257">_xlfn.XLOOKUP(Table5[[#This Row],[Product]],Table5[Product],Table5[Price])*_xlfn.XLOOKUP(Table5[[#This Row],[Product]],Table5[Product],$I$206:$I$305)</f>
        <v>1248.54</v>
      </c>
      <c r="M257" s="37" t="str">
        <f t="shared" si="0"/>
        <v>Low</v>
      </c>
      <c r="N257" s="33">
        <f>ROUND((Table5[[#This Row],[Profit]]/Table5[[#This Row],[Revenue Generated]])*100,2)</f>
        <v>13.1</v>
      </c>
    </row>
    <row r="258" spans="1:14" x14ac:dyDescent="0.3">
      <c r="A258" s="33" t="s">
        <v>391</v>
      </c>
      <c r="B258" s="33" t="s">
        <v>347</v>
      </c>
      <c r="C258" s="33" t="s">
        <v>317</v>
      </c>
      <c r="D258" s="33" t="s">
        <v>327</v>
      </c>
      <c r="E258" s="33">
        <v>9791244114</v>
      </c>
      <c r="F258" s="33" t="s">
        <v>322</v>
      </c>
      <c r="G258" s="33" t="s">
        <v>368</v>
      </c>
      <c r="H258" s="33">
        <v>2030.2</v>
      </c>
      <c r="I258" s="33">
        <v>13</v>
      </c>
      <c r="J258" s="33">
        <v>3695.03</v>
      </c>
      <c r="K258" s="33" t="s">
        <v>324</v>
      </c>
      <c r="L258" s="33" cm="1">
        <f t="array" ref="L258">_xlfn.XLOOKUP(Table5[[#This Row],[Product]],Table5[Product],Table5[Price])*_xlfn.XLOOKUP(Table5[[#This Row],[Product]],Table5[Product],$I$206:$I$305)</f>
        <v>20169.599999999999</v>
      </c>
      <c r="M258" s="37" t="str">
        <f t="shared" si="0"/>
        <v>High</v>
      </c>
      <c r="N258" s="33">
        <f>ROUND((Table5[[#This Row],[Profit]]/Table5[[#This Row],[Revenue Generated]])*100,2)</f>
        <v>18.32</v>
      </c>
    </row>
    <row r="259" spans="1:14" x14ac:dyDescent="0.3">
      <c r="A259" s="33" t="s">
        <v>392</v>
      </c>
      <c r="B259" s="33" t="s">
        <v>316</v>
      </c>
      <c r="C259" s="33" t="s">
        <v>317</v>
      </c>
      <c r="D259" s="33" t="s">
        <v>344</v>
      </c>
      <c r="E259" s="33">
        <v>9194670146</v>
      </c>
      <c r="F259" s="33" t="s">
        <v>319</v>
      </c>
      <c r="G259" s="33" t="s">
        <v>320</v>
      </c>
      <c r="H259" s="33">
        <v>1822.28</v>
      </c>
      <c r="I259" s="33">
        <v>4</v>
      </c>
      <c r="J259" s="33">
        <v>1973.2</v>
      </c>
      <c r="K259" s="33" t="s">
        <v>331</v>
      </c>
      <c r="L259" s="33" cm="1">
        <f t="array" ref="L259">_xlfn.XLOOKUP(Table5[[#This Row],[Product]],Table5[Product],Table5[Price])*_xlfn.XLOOKUP(Table5[[#This Row],[Product]],Table5[Product],$I$206:$I$305)</f>
        <v>12199.05</v>
      </c>
      <c r="M259" s="37" t="str">
        <f t="shared" si="0"/>
        <v>Medium</v>
      </c>
      <c r="N259" s="33">
        <f>ROUND((Table5[[#This Row],[Profit]]/Table5[[#This Row],[Revenue Generated]])*100,2)</f>
        <v>16.18</v>
      </c>
    </row>
    <row r="260" spans="1:14" x14ac:dyDescent="0.3">
      <c r="A260" s="33" t="s">
        <v>393</v>
      </c>
      <c r="B260" s="33" t="s">
        <v>347</v>
      </c>
      <c r="C260" s="33" t="s">
        <v>317</v>
      </c>
      <c r="D260" s="33" t="s">
        <v>340</v>
      </c>
      <c r="E260" s="33">
        <v>9519275644</v>
      </c>
      <c r="F260" s="33" t="s">
        <v>322</v>
      </c>
      <c r="G260" s="33" t="s">
        <v>330</v>
      </c>
      <c r="H260" s="33">
        <v>600.17999999999995</v>
      </c>
      <c r="I260" s="33">
        <v>11</v>
      </c>
      <c r="J260" s="33">
        <v>1525.57</v>
      </c>
      <c r="K260" s="33" t="s">
        <v>199</v>
      </c>
      <c r="L260" s="33" cm="1">
        <f t="array" ref="L260">_xlfn.XLOOKUP(Table5[[#This Row],[Product]],Table5[Product],Table5[Price])*_xlfn.XLOOKUP(Table5[[#This Row],[Product]],Table5[Product],$I$206:$I$305)</f>
        <v>5864.6500000000005</v>
      </c>
      <c r="M260" s="37" t="str">
        <f t="shared" si="0"/>
        <v>Medium</v>
      </c>
      <c r="N260" s="33">
        <f>ROUND((Table5[[#This Row],[Profit]]/Table5[[#This Row],[Revenue Generated]])*100,2)</f>
        <v>26.01</v>
      </c>
    </row>
    <row r="261" spans="1:14" x14ac:dyDescent="0.3">
      <c r="A261" s="33" t="s">
        <v>394</v>
      </c>
      <c r="B261" s="33" t="s">
        <v>326</v>
      </c>
      <c r="C261" s="33" t="s">
        <v>317</v>
      </c>
      <c r="D261" s="33" t="s">
        <v>340</v>
      </c>
      <c r="E261" s="33">
        <v>9520013561</v>
      </c>
      <c r="F261" s="33" t="s">
        <v>319</v>
      </c>
      <c r="G261" s="33" t="s">
        <v>328</v>
      </c>
      <c r="H261" s="33">
        <v>2330.36</v>
      </c>
      <c r="I261" s="33">
        <v>7</v>
      </c>
      <c r="J261" s="33">
        <v>3532.26</v>
      </c>
      <c r="K261" s="33" t="s">
        <v>353</v>
      </c>
      <c r="L261" s="33" cm="1">
        <f t="array" ref="L261">_xlfn.XLOOKUP(Table5[[#This Row],[Product]],Table5[Product],Table5[Price])*_xlfn.XLOOKUP(Table5[[#This Row],[Product]],Table5[Product],$I$206:$I$305)</f>
        <v>1363.73</v>
      </c>
      <c r="M261" s="37" t="str">
        <f t="shared" si="0"/>
        <v>Low</v>
      </c>
      <c r="N261" s="33">
        <f>ROUND((Table5[[#This Row],[Profit]]/Table5[[#This Row],[Revenue Generated]])*100,2)</f>
        <v>259.01</v>
      </c>
    </row>
    <row r="262" spans="1:14" x14ac:dyDescent="0.3">
      <c r="A262" s="33" t="s">
        <v>395</v>
      </c>
      <c r="B262" s="33" t="s">
        <v>347</v>
      </c>
      <c r="C262" s="33" t="s">
        <v>317</v>
      </c>
      <c r="D262" s="33" t="s">
        <v>342</v>
      </c>
      <c r="E262" s="35">
        <v>95989895092</v>
      </c>
      <c r="F262" s="33" t="s">
        <v>197</v>
      </c>
      <c r="G262" s="33" t="s">
        <v>226</v>
      </c>
      <c r="H262" s="33">
        <v>1084.67</v>
      </c>
      <c r="I262" s="33">
        <v>13</v>
      </c>
      <c r="J262" s="33">
        <v>4140.1400000000003</v>
      </c>
      <c r="K262" s="33" t="s">
        <v>331</v>
      </c>
      <c r="L262" s="33" cm="1">
        <f t="array" ref="L262">_xlfn.XLOOKUP(Table5[[#This Row],[Product]],Table5[Product],Table5[Price])*_xlfn.XLOOKUP(Table5[[#This Row],[Product]],Table5[Product],$I$206:$I$305)</f>
        <v>20278.72</v>
      </c>
      <c r="M262" s="37" t="str">
        <f t="shared" si="0"/>
        <v>High</v>
      </c>
      <c r="N262" s="33">
        <f>ROUND((Table5[[#This Row],[Profit]]/Table5[[#This Row],[Revenue Generated]])*100,2)</f>
        <v>20.420000000000002</v>
      </c>
    </row>
    <row r="263" spans="1:14" x14ac:dyDescent="0.3">
      <c r="A263" s="33" t="s">
        <v>396</v>
      </c>
      <c r="B263" s="33" t="s">
        <v>335</v>
      </c>
      <c r="C263" s="33" t="s">
        <v>317</v>
      </c>
      <c r="D263" s="33" t="s">
        <v>355</v>
      </c>
      <c r="E263" s="33">
        <v>9499862542</v>
      </c>
      <c r="F263" s="33" t="s">
        <v>322</v>
      </c>
      <c r="G263" s="33" t="s">
        <v>368</v>
      </c>
      <c r="H263" s="33">
        <v>1893.55</v>
      </c>
      <c r="I263" s="33">
        <v>12</v>
      </c>
      <c r="J263" s="33">
        <v>3204.64</v>
      </c>
      <c r="K263" s="33" t="s">
        <v>324</v>
      </c>
      <c r="L263" s="33" cm="1">
        <f t="array" ref="L263">_xlfn.XLOOKUP(Table5[[#This Row],[Product]],Table5[Product],Table5[Price])*_xlfn.XLOOKUP(Table5[[#This Row],[Product]],Table5[Product],$I$206:$I$305)</f>
        <v>20169.599999999999</v>
      </c>
      <c r="M263" s="37" t="str">
        <f t="shared" si="0"/>
        <v>High</v>
      </c>
      <c r="N263" s="33">
        <f>ROUND((Table5[[#This Row],[Profit]]/Table5[[#This Row],[Revenue Generated]])*100,2)</f>
        <v>15.89</v>
      </c>
    </row>
    <row r="264" spans="1:14" x14ac:dyDescent="0.3">
      <c r="A264" s="33" t="s">
        <v>397</v>
      </c>
      <c r="B264" s="33" t="s">
        <v>347</v>
      </c>
      <c r="C264" s="33" t="s">
        <v>317</v>
      </c>
      <c r="D264" s="33" t="s">
        <v>342</v>
      </c>
      <c r="E264" s="33">
        <v>9724136290</v>
      </c>
      <c r="F264" s="33" t="s">
        <v>322</v>
      </c>
      <c r="G264" s="33" t="s">
        <v>338</v>
      </c>
      <c r="H264" s="33">
        <v>1747.22</v>
      </c>
      <c r="I264" s="33">
        <v>6</v>
      </c>
      <c r="J264" s="33">
        <v>2678.22</v>
      </c>
      <c r="K264" s="33" t="s">
        <v>331</v>
      </c>
      <c r="L264" s="33" cm="1">
        <f t="array" ref="L264">_xlfn.XLOOKUP(Table5[[#This Row],[Product]],Table5[Product],Table5[Price])*_xlfn.XLOOKUP(Table5[[#This Row],[Product]],Table5[Product],$I$206:$I$305)</f>
        <v>1248.54</v>
      </c>
      <c r="M264" s="37" t="str">
        <f t="shared" si="0"/>
        <v>Low</v>
      </c>
      <c r="N264" s="33">
        <f>ROUND((Table5[[#This Row],[Profit]]/Table5[[#This Row],[Revenue Generated]])*100,2)</f>
        <v>214.51</v>
      </c>
    </row>
    <row r="265" spans="1:14" x14ac:dyDescent="0.3">
      <c r="A265" s="33" t="s">
        <v>398</v>
      </c>
      <c r="B265" s="33" t="s">
        <v>335</v>
      </c>
      <c r="C265" s="33" t="s">
        <v>317</v>
      </c>
      <c r="D265" s="33" t="s">
        <v>342</v>
      </c>
      <c r="E265" s="33">
        <v>9321909198</v>
      </c>
      <c r="F265" s="33" t="s">
        <v>322</v>
      </c>
      <c r="G265" s="33" t="s">
        <v>258</v>
      </c>
      <c r="H265" s="33">
        <v>287.31</v>
      </c>
      <c r="I265" s="33">
        <v>8</v>
      </c>
      <c r="J265" s="33">
        <v>381.56</v>
      </c>
      <c r="K265" s="33" t="s">
        <v>353</v>
      </c>
      <c r="L265" s="33" cm="1">
        <f t="array" ref="L265">_xlfn.XLOOKUP(Table5[[#This Row],[Product]],Table5[Product],Table5[Price])*_xlfn.XLOOKUP(Table5[[#This Row],[Product]],Table5[Product],$I$206:$I$305)</f>
        <v>6960.09</v>
      </c>
      <c r="M265" s="37" t="str">
        <f t="shared" si="0"/>
        <v>Medium</v>
      </c>
      <c r="N265" s="33">
        <f>ROUND((Table5[[#This Row],[Profit]]/Table5[[#This Row],[Revenue Generated]])*100,2)</f>
        <v>5.48</v>
      </c>
    </row>
    <row r="266" spans="1:14" x14ac:dyDescent="0.3">
      <c r="A266" s="33" t="s">
        <v>399</v>
      </c>
      <c r="B266" s="33" t="s">
        <v>347</v>
      </c>
      <c r="C266" s="33" t="s">
        <v>317</v>
      </c>
      <c r="D266" s="33" t="s">
        <v>340</v>
      </c>
      <c r="E266" s="33">
        <v>9760693305</v>
      </c>
      <c r="F266" s="33" t="s">
        <v>319</v>
      </c>
      <c r="G266" s="33" t="s">
        <v>320</v>
      </c>
      <c r="H266" s="33">
        <v>1700.05</v>
      </c>
      <c r="I266" s="33">
        <v>2</v>
      </c>
      <c r="J266" s="33">
        <v>383.92</v>
      </c>
      <c r="K266" s="33" t="s">
        <v>214</v>
      </c>
      <c r="L266" s="33" cm="1">
        <f t="array" ref="L266">_xlfn.XLOOKUP(Table5[[#This Row],[Product]],Table5[Product],Table5[Price])*_xlfn.XLOOKUP(Table5[[#This Row],[Product]],Table5[Product],$I$206:$I$305)</f>
        <v>12199.05</v>
      </c>
      <c r="M266" s="37" t="str">
        <f t="shared" si="0"/>
        <v>Medium</v>
      </c>
      <c r="N266" s="33">
        <f>ROUND((Table5[[#This Row],[Profit]]/Table5[[#This Row],[Revenue Generated]])*100,2)</f>
        <v>3.15</v>
      </c>
    </row>
    <row r="267" spans="1:14" x14ac:dyDescent="0.3">
      <c r="A267" s="33" t="s">
        <v>400</v>
      </c>
      <c r="B267" s="33" t="s">
        <v>335</v>
      </c>
      <c r="C267" s="33" t="s">
        <v>317</v>
      </c>
      <c r="D267" s="33" t="s">
        <v>342</v>
      </c>
      <c r="E267" s="33">
        <v>9658575570</v>
      </c>
      <c r="F267" s="33" t="s">
        <v>322</v>
      </c>
      <c r="G267" s="33" t="s">
        <v>258</v>
      </c>
      <c r="H267" s="33">
        <v>1180.31</v>
      </c>
      <c r="I267" s="33">
        <v>7</v>
      </c>
      <c r="J267" s="33">
        <v>847.73</v>
      </c>
      <c r="K267" s="33" t="s">
        <v>214</v>
      </c>
      <c r="L267" s="33" cm="1">
        <f t="array" ref="L267">_xlfn.XLOOKUP(Table5[[#This Row],[Product]],Table5[Product],Table5[Price])*_xlfn.XLOOKUP(Table5[[#This Row],[Product]],Table5[Product],$I$206:$I$305)</f>
        <v>6960.09</v>
      </c>
      <c r="M267" s="37" t="str">
        <f t="shared" si="0"/>
        <v>Medium</v>
      </c>
      <c r="N267" s="33">
        <f>ROUND((Table5[[#This Row],[Profit]]/Table5[[#This Row],[Revenue Generated]])*100,2)</f>
        <v>12.18</v>
      </c>
    </row>
    <row r="268" spans="1:14" x14ac:dyDescent="0.3">
      <c r="A268" s="33" t="s">
        <v>401</v>
      </c>
      <c r="B268" s="33" t="s">
        <v>326</v>
      </c>
      <c r="C268" s="33" t="s">
        <v>317</v>
      </c>
      <c r="D268" s="33" t="s">
        <v>342</v>
      </c>
      <c r="E268" s="33">
        <v>9950273824</v>
      </c>
      <c r="F268" s="33" t="s">
        <v>322</v>
      </c>
      <c r="G268" s="33" t="s">
        <v>368</v>
      </c>
      <c r="H268" s="33">
        <v>653.35</v>
      </c>
      <c r="I268" s="33">
        <v>4</v>
      </c>
      <c r="J268" s="33">
        <v>345.46</v>
      </c>
      <c r="K268" s="33" t="s">
        <v>199</v>
      </c>
      <c r="L268" s="33" cm="1">
        <f t="array" ref="L268">_xlfn.XLOOKUP(Table5[[#This Row],[Product]],Table5[Product],Table5[Price])*_xlfn.XLOOKUP(Table5[[#This Row],[Product]],Table5[Product],$I$206:$I$305)</f>
        <v>20169.599999999999</v>
      </c>
      <c r="M268" s="37" t="str">
        <f t="shared" si="0"/>
        <v>High</v>
      </c>
      <c r="N268" s="33">
        <f>ROUND((Table5[[#This Row],[Profit]]/Table5[[#This Row],[Revenue Generated]])*100,2)</f>
        <v>1.71</v>
      </c>
    </row>
    <row r="269" spans="1:14" x14ac:dyDescent="0.3">
      <c r="A269" s="33" t="s">
        <v>402</v>
      </c>
      <c r="B269" s="33" t="s">
        <v>326</v>
      </c>
      <c r="C269" s="33" t="s">
        <v>317</v>
      </c>
      <c r="D269" s="33" t="s">
        <v>336</v>
      </c>
      <c r="E269" s="33">
        <v>9898816813</v>
      </c>
      <c r="F269" s="33" t="s">
        <v>197</v>
      </c>
      <c r="G269" s="33" t="s">
        <v>169</v>
      </c>
      <c r="H269" s="33">
        <v>1881.74</v>
      </c>
      <c r="I269" s="33">
        <v>4</v>
      </c>
      <c r="J269" s="33">
        <v>1363.83</v>
      </c>
      <c r="K269" s="33" t="s">
        <v>353</v>
      </c>
      <c r="L269" s="33" cm="1">
        <f t="array" ref="L269">_xlfn.XLOOKUP(Table5[[#This Row],[Product]],Table5[Product],Table5[Price])*_xlfn.XLOOKUP(Table5[[#This Row],[Product]],Table5[Product],$I$206:$I$305)</f>
        <v>9196.39</v>
      </c>
      <c r="M269" s="37" t="str">
        <f t="shared" si="0"/>
        <v>Medium</v>
      </c>
      <c r="N269" s="33">
        <f>ROUND((Table5[[#This Row],[Profit]]/Table5[[#This Row],[Revenue Generated]])*100,2)</f>
        <v>14.83</v>
      </c>
    </row>
    <row r="270" spans="1:14" x14ac:dyDescent="0.3">
      <c r="A270" s="33" t="s">
        <v>403</v>
      </c>
      <c r="B270" s="33" t="s">
        <v>347</v>
      </c>
      <c r="C270" s="33" t="s">
        <v>317</v>
      </c>
      <c r="D270" s="33" t="s">
        <v>344</v>
      </c>
      <c r="E270" s="33">
        <v>9571594565</v>
      </c>
      <c r="F270" s="33" t="s">
        <v>322</v>
      </c>
      <c r="G270" s="33" t="s">
        <v>323</v>
      </c>
      <c r="H270" s="33">
        <v>1206.3499999999999</v>
      </c>
      <c r="I270" s="33">
        <v>15</v>
      </c>
      <c r="J270" s="33">
        <v>2801.82</v>
      </c>
      <c r="K270" s="33" t="s">
        <v>214</v>
      </c>
      <c r="L270" s="33" cm="1">
        <f t="array" ref="L270">_xlfn.XLOOKUP(Table5[[#This Row],[Product]],Table5[Product],Table5[Price])*_xlfn.XLOOKUP(Table5[[#This Row],[Product]],Table5[Product],$I$206:$I$305)</f>
        <v>21078.59</v>
      </c>
      <c r="M270" s="37" t="str">
        <f t="shared" si="0"/>
        <v>High</v>
      </c>
      <c r="N270" s="33">
        <f>ROUND((Table5[[#This Row],[Profit]]/Table5[[#This Row],[Revenue Generated]])*100,2)</f>
        <v>13.29</v>
      </c>
    </row>
    <row r="271" spans="1:14" x14ac:dyDescent="0.3">
      <c r="A271" s="33" t="s">
        <v>404</v>
      </c>
      <c r="B271" s="33" t="s">
        <v>326</v>
      </c>
      <c r="C271" s="33" t="s">
        <v>317</v>
      </c>
      <c r="D271" s="33" t="s">
        <v>340</v>
      </c>
      <c r="E271" s="33">
        <v>9684352160</v>
      </c>
      <c r="F271" s="33" t="s">
        <v>319</v>
      </c>
      <c r="G271" s="33" t="s">
        <v>352</v>
      </c>
      <c r="H271" s="33">
        <v>1849.95</v>
      </c>
      <c r="I271" s="33">
        <v>5</v>
      </c>
      <c r="J271" s="33">
        <v>2111.02</v>
      </c>
      <c r="K271" s="33" t="s">
        <v>353</v>
      </c>
      <c r="L271" s="33" cm="1">
        <f t="array" ref="L271">_xlfn.XLOOKUP(Table5[[#This Row],[Product]],Table5[Product],Table5[Price])*_xlfn.XLOOKUP(Table5[[#This Row],[Product]],Table5[Product],$I$206:$I$305)</f>
        <v>7420.41</v>
      </c>
      <c r="M271" s="37" t="str">
        <f t="shared" ref="M271:M305" si="1">IF(L271&gt;=15000,"High",IF(L271&gt;=5000,"Medium","Low"))</f>
        <v>Medium</v>
      </c>
      <c r="N271" s="33">
        <f>ROUND((Table5[[#This Row],[Profit]]/Table5[[#This Row],[Revenue Generated]])*100,2)</f>
        <v>28.45</v>
      </c>
    </row>
    <row r="272" spans="1:14" x14ac:dyDescent="0.3">
      <c r="A272" s="33" t="s">
        <v>405</v>
      </c>
      <c r="B272" s="33" t="s">
        <v>316</v>
      </c>
      <c r="C272" s="33" t="s">
        <v>317</v>
      </c>
      <c r="D272" s="33" t="s">
        <v>327</v>
      </c>
      <c r="E272" s="33">
        <v>9845713875</v>
      </c>
      <c r="F272" s="33" t="s">
        <v>197</v>
      </c>
      <c r="G272" s="33" t="s">
        <v>254</v>
      </c>
      <c r="H272" s="33">
        <v>1896.1</v>
      </c>
      <c r="I272" s="33">
        <v>5</v>
      </c>
      <c r="J272" s="33">
        <v>2676.46</v>
      </c>
      <c r="K272" s="33" t="s">
        <v>353</v>
      </c>
      <c r="L272" s="33" cm="1">
        <f t="array" ref="L272">_xlfn.XLOOKUP(Table5[[#This Row],[Product]],Table5[Product],Table5[Price])*_xlfn.XLOOKUP(Table5[[#This Row],[Product]],Table5[Product],$I$206:$I$305)</f>
        <v>2338.56</v>
      </c>
      <c r="M272" s="37" t="str">
        <f t="shared" si="1"/>
        <v>Low</v>
      </c>
      <c r="N272" s="33">
        <f>ROUND((Table5[[#This Row],[Profit]]/Table5[[#This Row],[Revenue Generated]])*100,2)</f>
        <v>114.45</v>
      </c>
    </row>
    <row r="273" spans="1:14" x14ac:dyDescent="0.3">
      <c r="A273" s="33" t="s">
        <v>406</v>
      </c>
      <c r="B273" s="33" t="s">
        <v>326</v>
      </c>
      <c r="C273" s="33" t="s">
        <v>317</v>
      </c>
      <c r="D273" s="33" t="s">
        <v>336</v>
      </c>
      <c r="E273" s="35">
        <v>85</v>
      </c>
      <c r="F273" s="33" t="s">
        <v>322</v>
      </c>
      <c r="G273" s="33" t="s">
        <v>258</v>
      </c>
      <c r="H273" s="33">
        <v>1799.6</v>
      </c>
      <c r="I273" s="33">
        <v>6</v>
      </c>
      <c r="J273" s="33">
        <v>1551.79</v>
      </c>
      <c r="K273" s="33" t="s">
        <v>331</v>
      </c>
      <c r="L273" s="33" cm="1">
        <f t="array" ref="L273">_xlfn.XLOOKUP(Table5[[#This Row],[Product]],Table5[Product],Table5[Price])*_xlfn.XLOOKUP(Table5[[#This Row],[Product]],Table5[Product],$I$206:$I$305)</f>
        <v>6960.09</v>
      </c>
      <c r="M273" s="37" t="str">
        <f t="shared" si="1"/>
        <v>Medium</v>
      </c>
      <c r="N273" s="33">
        <f>ROUND((Table5[[#This Row],[Profit]]/Table5[[#This Row],[Revenue Generated]])*100,2)</f>
        <v>22.3</v>
      </c>
    </row>
    <row r="274" spans="1:14" x14ac:dyDescent="0.3">
      <c r="A274" s="33" t="s">
        <v>407</v>
      </c>
      <c r="B274" s="33" t="s">
        <v>347</v>
      </c>
      <c r="C274" s="33" t="s">
        <v>317</v>
      </c>
      <c r="D274" s="33" t="s">
        <v>318</v>
      </c>
      <c r="E274" s="33">
        <v>9304184751</v>
      </c>
      <c r="F274" s="33" t="s">
        <v>322</v>
      </c>
      <c r="G274" s="33" t="s">
        <v>368</v>
      </c>
      <c r="H274" s="33">
        <v>1330.26</v>
      </c>
      <c r="I274" s="33">
        <v>2</v>
      </c>
      <c r="J274" s="33">
        <v>669.54</v>
      </c>
      <c r="K274" s="33" t="s">
        <v>199</v>
      </c>
      <c r="L274" s="33" cm="1">
        <f t="array" ref="L274">_xlfn.XLOOKUP(Table5[[#This Row],[Product]],Table5[Product],Table5[Price])*_xlfn.XLOOKUP(Table5[[#This Row],[Product]],Table5[Product],$I$206:$I$305)</f>
        <v>20169.599999999999</v>
      </c>
      <c r="M274" s="37" t="str">
        <f t="shared" si="1"/>
        <v>High</v>
      </c>
      <c r="N274" s="33">
        <f>ROUND((Table5[[#This Row],[Profit]]/Table5[[#This Row],[Revenue Generated]])*100,2)</f>
        <v>3.32</v>
      </c>
    </row>
    <row r="275" spans="1:14" x14ac:dyDescent="0.3">
      <c r="A275" s="33" t="s">
        <v>408</v>
      </c>
      <c r="B275" s="33" t="s">
        <v>347</v>
      </c>
      <c r="C275" s="33" t="s">
        <v>317</v>
      </c>
      <c r="D275" s="33" t="s">
        <v>344</v>
      </c>
      <c r="E275" s="33">
        <v>9141039856</v>
      </c>
      <c r="F275" s="33" t="s">
        <v>197</v>
      </c>
      <c r="G275" s="33" t="s">
        <v>220</v>
      </c>
      <c r="H275" s="33">
        <v>322.57</v>
      </c>
      <c r="I275" s="33">
        <v>13</v>
      </c>
      <c r="J275" s="33">
        <v>684.45</v>
      </c>
      <c r="K275" s="33" t="s">
        <v>353</v>
      </c>
      <c r="L275" s="33" cm="1">
        <f t="array" ref="L275">_xlfn.XLOOKUP(Table5[[#This Row],[Product]],Table5[Product],Table5[Price])*_xlfn.XLOOKUP(Table5[[#This Row],[Product]],Table5[Product],$I$206:$I$305)</f>
        <v>11523.3</v>
      </c>
      <c r="M275" s="37" t="str">
        <f t="shared" si="1"/>
        <v>Medium</v>
      </c>
      <c r="N275" s="33">
        <f>ROUND((Table5[[#This Row],[Profit]]/Table5[[#This Row],[Revenue Generated]])*100,2)</f>
        <v>5.94</v>
      </c>
    </row>
    <row r="276" spans="1:14" x14ac:dyDescent="0.3">
      <c r="A276" s="33" t="s">
        <v>409</v>
      </c>
      <c r="B276" s="33" t="s">
        <v>335</v>
      </c>
      <c r="C276" s="33" t="s">
        <v>317</v>
      </c>
      <c r="D276" s="33" t="s">
        <v>336</v>
      </c>
      <c r="E276" s="33">
        <v>9640589740</v>
      </c>
      <c r="F276" s="33" t="s">
        <v>197</v>
      </c>
      <c r="G276" s="33" t="s">
        <v>254</v>
      </c>
      <c r="H276" s="33">
        <v>1510.41</v>
      </c>
      <c r="I276" s="33">
        <v>1</v>
      </c>
      <c r="J276" s="33">
        <v>434.79</v>
      </c>
      <c r="K276" s="33" t="s">
        <v>324</v>
      </c>
      <c r="L276" s="33" cm="1">
        <f t="array" ref="L276">_xlfn.XLOOKUP(Table5[[#This Row],[Product]],Table5[Product],Table5[Price])*_xlfn.XLOOKUP(Table5[[#This Row],[Product]],Table5[Product],$I$206:$I$305)</f>
        <v>2338.56</v>
      </c>
      <c r="M276" s="37" t="str">
        <f t="shared" si="1"/>
        <v>Low</v>
      </c>
      <c r="N276" s="33">
        <f>ROUND((Table5[[#This Row],[Profit]]/Table5[[#This Row],[Revenue Generated]])*100,2)</f>
        <v>18.59</v>
      </c>
    </row>
    <row r="277" spans="1:14" x14ac:dyDescent="0.3">
      <c r="A277" s="33" t="s">
        <v>410</v>
      </c>
      <c r="B277" s="33" t="s">
        <v>326</v>
      </c>
      <c r="C277" s="33" t="s">
        <v>317</v>
      </c>
      <c r="D277" s="33" t="s">
        <v>318</v>
      </c>
      <c r="E277" s="33">
        <v>9406517796</v>
      </c>
      <c r="F277" s="33" t="s">
        <v>319</v>
      </c>
      <c r="G277" s="33" t="s">
        <v>218</v>
      </c>
      <c r="H277" s="33">
        <v>1085.52</v>
      </c>
      <c r="I277" s="33">
        <v>4</v>
      </c>
      <c r="J277" s="33">
        <v>749.57</v>
      </c>
      <c r="K277" s="33" t="s">
        <v>199</v>
      </c>
      <c r="L277" s="33" cm="1">
        <f t="array" ref="L277">_xlfn.XLOOKUP(Table5[[#This Row],[Product]],Table5[Product],Table5[Price])*_xlfn.XLOOKUP(Table5[[#This Row],[Product]],Table5[Product],$I$206:$I$305)</f>
        <v>18630.080000000002</v>
      </c>
      <c r="M277" s="37" t="str">
        <f t="shared" si="1"/>
        <v>High</v>
      </c>
      <c r="N277" s="33">
        <f>ROUND((Table5[[#This Row],[Profit]]/Table5[[#This Row],[Revenue Generated]])*100,2)</f>
        <v>4.0199999999999996</v>
      </c>
    </row>
    <row r="278" spans="1:14" x14ac:dyDescent="0.3">
      <c r="A278" s="33" t="s">
        <v>411</v>
      </c>
      <c r="B278" s="33" t="s">
        <v>326</v>
      </c>
      <c r="C278" s="33" t="s">
        <v>317</v>
      </c>
      <c r="D278" s="33" t="s">
        <v>340</v>
      </c>
      <c r="E278" s="33">
        <v>9606169051</v>
      </c>
      <c r="F278" s="33" t="s">
        <v>322</v>
      </c>
      <c r="G278" s="33" t="s">
        <v>323</v>
      </c>
      <c r="H278" s="33">
        <v>1441.79</v>
      </c>
      <c r="I278" s="33">
        <v>14</v>
      </c>
      <c r="J278" s="33">
        <v>3929.03</v>
      </c>
      <c r="K278" s="33" t="s">
        <v>353</v>
      </c>
      <c r="L278" s="33" cm="1">
        <f t="array" ref="L278">_xlfn.XLOOKUP(Table5[[#This Row],[Product]],Table5[Product],Table5[Price])*_xlfn.XLOOKUP(Table5[[#This Row],[Product]],Table5[Product],$I$206:$I$305)</f>
        <v>21078.59</v>
      </c>
      <c r="M278" s="37" t="str">
        <f t="shared" si="1"/>
        <v>High</v>
      </c>
      <c r="N278" s="33">
        <f>ROUND((Table5[[#This Row],[Profit]]/Table5[[#This Row],[Revenue Generated]])*100,2)</f>
        <v>18.64</v>
      </c>
    </row>
    <row r="279" spans="1:14" x14ac:dyDescent="0.3">
      <c r="A279" s="33" t="s">
        <v>412</v>
      </c>
      <c r="B279" s="33" t="s">
        <v>347</v>
      </c>
      <c r="C279" s="33" t="s">
        <v>317</v>
      </c>
      <c r="D279" s="33" t="s">
        <v>344</v>
      </c>
      <c r="E279" s="33">
        <v>9350461925</v>
      </c>
      <c r="F279" s="33" t="s">
        <v>322</v>
      </c>
      <c r="G279" s="33" t="s">
        <v>368</v>
      </c>
      <c r="H279" s="33">
        <v>686.64</v>
      </c>
      <c r="I279" s="33">
        <v>8</v>
      </c>
      <c r="J279" s="33">
        <v>878.07</v>
      </c>
      <c r="K279" s="33" t="s">
        <v>199</v>
      </c>
      <c r="L279" s="33" cm="1">
        <f t="array" ref="L279">_xlfn.XLOOKUP(Table5[[#This Row],[Product]],Table5[Product],Table5[Price])*_xlfn.XLOOKUP(Table5[[#This Row],[Product]],Table5[Product],$I$206:$I$305)</f>
        <v>20169.599999999999</v>
      </c>
      <c r="M279" s="37" t="str">
        <f t="shared" si="1"/>
        <v>High</v>
      </c>
      <c r="N279" s="33">
        <f>ROUND((Table5[[#This Row],[Profit]]/Table5[[#This Row],[Revenue Generated]])*100,2)</f>
        <v>4.3499999999999996</v>
      </c>
    </row>
    <row r="280" spans="1:14" x14ac:dyDescent="0.3">
      <c r="A280" s="33" t="s">
        <v>413</v>
      </c>
      <c r="B280" s="33" t="s">
        <v>316</v>
      </c>
      <c r="C280" s="33" t="s">
        <v>317</v>
      </c>
      <c r="D280" s="33" t="s">
        <v>327</v>
      </c>
      <c r="E280" s="33">
        <v>9996467468</v>
      </c>
      <c r="F280" s="33" t="s">
        <v>319</v>
      </c>
      <c r="G280" s="33" t="s">
        <v>218</v>
      </c>
      <c r="H280" s="33">
        <v>2830.64</v>
      </c>
      <c r="I280" s="33">
        <v>6</v>
      </c>
      <c r="J280" s="33">
        <v>1830.75</v>
      </c>
      <c r="K280" s="33" t="s">
        <v>199</v>
      </c>
      <c r="L280" s="33" cm="1">
        <f t="array" ref="L280">_xlfn.XLOOKUP(Table5[[#This Row],[Product]],Table5[Product],Table5[Price])*_xlfn.XLOOKUP(Table5[[#This Row],[Product]],Table5[Product],$I$206:$I$305)</f>
        <v>18630.080000000002</v>
      </c>
      <c r="M280" s="37" t="str">
        <f t="shared" si="1"/>
        <v>High</v>
      </c>
      <c r="N280" s="33">
        <f>ROUND((Table5[[#This Row],[Profit]]/Table5[[#This Row],[Revenue Generated]])*100,2)</f>
        <v>9.83</v>
      </c>
    </row>
    <row r="281" spans="1:14" x14ac:dyDescent="0.3">
      <c r="A281" s="33" t="s">
        <v>414</v>
      </c>
      <c r="B281" s="33" t="s">
        <v>316</v>
      </c>
      <c r="C281" s="33" t="s">
        <v>317</v>
      </c>
      <c r="D281" s="33" t="s">
        <v>344</v>
      </c>
      <c r="E281" s="33">
        <v>9128345710</v>
      </c>
      <c r="F281" s="33" t="s">
        <v>197</v>
      </c>
      <c r="G281" s="33" t="s">
        <v>226</v>
      </c>
      <c r="H281" s="33">
        <v>2619.08</v>
      </c>
      <c r="I281" s="33">
        <v>6</v>
      </c>
      <c r="J281" s="33">
        <v>4245.2299999999996</v>
      </c>
      <c r="K281" s="33" t="s">
        <v>324</v>
      </c>
      <c r="L281" s="33" cm="1">
        <f t="array" ref="L281">_xlfn.XLOOKUP(Table5[[#This Row],[Product]],Table5[Product],Table5[Price])*_xlfn.XLOOKUP(Table5[[#This Row],[Product]],Table5[Product],$I$206:$I$305)</f>
        <v>20278.72</v>
      </c>
      <c r="M281" s="37" t="str">
        <f t="shared" si="1"/>
        <v>High</v>
      </c>
      <c r="N281" s="33">
        <f>ROUND((Table5[[#This Row],[Profit]]/Table5[[#This Row],[Revenue Generated]])*100,2)</f>
        <v>20.93</v>
      </c>
    </row>
    <row r="282" spans="1:14" x14ac:dyDescent="0.3">
      <c r="A282" s="33" t="s">
        <v>415</v>
      </c>
      <c r="B282" s="33" t="s">
        <v>335</v>
      </c>
      <c r="C282" s="33" t="s">
        <v>317</v>
      </c>
      <c r="D282" s="33" t="s">
        <v>342</v>
      </c>
      <c r="E282" s="33">
        <v>9392055351</v>
      </c>
      <c r="F282" s="33" t="s">
        <v>319</v>
      </c>
      <c r="G282" s="33" t="s">
        <v>211</v>
      </c>
      <c r="H282" s="33">
        <v>503.93</v>
      </c>
      <c r="I282" s="33">
        <v>11</v>
      </c>
      <c r="J282" s="33">
        <v>1183.48</v>
      </c>
      <c r="K282" s="33" t="s">
        <v>331</v>
      </c>
      <c r="L282" s="33" cm="1">
        <f t="array" ref="L282">_xlfn.XLOOKUP(Table5[[#This Row],[Product]],Table5[Product],Table5[Price])*_xlfn.XLOOKUP(Table5[[#This Row],[Product]],Table5[Product],$I$206:$I$305)</f>
        <v>31948.28</v>
      </c>
      <c r="M282" s="37" t="str">
        <f t="shared" si="1"/>
        <v>High</v>
      </c>
      <c r="N282" s="33">
        <f>ROUND((Table5[[#This Row],[Profit]]/Table5[[#This Row],[Revenue Generated]])*100,2)</f>
        <v>3.7</v>
      </c>
    </row>
    <row r="283" spans="1:14" x14ac:dyDescent="0.3">
      <c r="A283" s="33" t="s">
        <v>416</v>
      </c>
      <c r="B283" s="33" t="s">
        <v>326</v>
      </c>
      <c r="C283" s="33" t="s">
        <v>317</v>
      </c>
      <c r="D283" s="33" t="s">
        <v>336</v>
      </c>
      <c r="E283" s="33">
        <v>9980141994</v>
      </c>
      <c r="F283" s="33" t="s">
        <v>322</v>
      </c>
      <c r="G283" s="33" t="s">
        <v>258</v>
      </c>
      <c r="H283" s="33">
        <v>467.71</v>
      </c>
      <c r="I283" s="33">
        <v>12</v>
      </c>
      <c r="J283" s="33">
        <v>1223.23</v>
      </c>
      <c r="K283" s="33" t="s">
        <v>199</v>
      </c>
      <c r="L283" s="33" cm="1">
        <f t="array" ref="L283">_xlfn.XLOOKUP(Table5[[#This Row],[Product]],Table5[Product],Table5[Price])*_xlfn.XLOOKUP(Table5[[#This Row],[Product]],Table5[Product],$I$206:$I$305)</f>
        <v>6960.09</v>
      </c>
      <c r="M283" s="37" t="str">
        <f t="shared" si="1"/>
        <v>Medium</v>
      </c>
      <c r="N283" s="33">
        <f>ROUND((Table5[[#This Row],[Profit]]/Table5[[#This Row],[Revenue Generated]])*100,2)</f>
        <v>17.57</v>
      </c>
    </row>
    <row r="284" spans="1:14" x14ac:dyDescent="0.3">
      <c r="A284" s="33" t="s">
        <v>417</v>
      </c>
      <c r="B284" s="33" t="s">
        <v>316</v>
      </c>
      <c r="C284" s="33" t="s">
        <v>317</v>
      </c>
      <c r="D284" s="33" t="s">
        <v>340</v>
      </c>
      <c r="E284" s="33">
        <v>9403999543</v>
      </c>
      <c r="F284" s="33" t="s">
        <v>322</v>
      </c>
      <c r="G284" s="33" t="s">
        <v>338</v>
      </c>
      <c r="H284" s="33">
        <v>2307.34</v>
      </c>
      <c r="I284" s="33">
        <v>14</v>
      </c>
      <c r="J284" s="33">
        <v>3571.15</v>
      </c>
      <c r="K284" s="33" t="s">
        <v>353</v>
      </c>
      <c r="L284" s="33" cm="1">
        <f t="array" ref="L284">_xlfn.XLOOKUP(Table5[[#This Row],[Product]],Table5[Product],Table5[Price])*_xlfn.XLOOKUP(Table5[[#This Row],[Product]],Table5[Product],$I$206:$I$305)</f>
        <v>1248.54</v>
      </c>
      <c r="M284" s="37" t="str">
        <f t="shared" si="1"/>
        <v>Low</v>
      </c>
      <c r="N284" s="33">
        <f>ROUND((Table5[[#This Row],[Profit]]/Table5[[#This Row],[Revenue Generated]])*100,2)</f>
        <v>286.02999999999997</v>
      </c>
    </row>
    <row r="285" spans="1:14" x14ac:dyDescent="0.3">
      <c r="A285" s="33" t="s">
        <v>418</v>
      </c>
      <c r="B285" s="33" t="s">
        <v>347</v>
      </c>
      <c r="C285" s="33" t="s">
        <v>317</v>
      </c>
      <c r="D285" s="33" t="s">
        <v>355</v>
      </c>
      <c r="E285" s="33">
        <v>9164427200</v>
      </c>
      <c r="F285" s="33" t="s">
        <v>197</v>
      </c>
      <c r="G285" s="33" t="s">
        <v>254</v>
      </c>
      <c r="H285" s="33">
        <v>1513.57</v>
      </c>
      <c r="I285" s="33">
        <v>14</v>
      </c>
      <c r="J285" s="34">
        <v>5761.18</v>
      </c>
      <c r="K285" s="33" t="s">
        <v>199</v>
      </c>
      <c r="L285" s="33" cm="1">
        <f t="array" ref="L285">_xlfn.XLOOKUP(Table5[[#This Row],[Product]],Table5[Product],Table5[Price])*_xlfn.XLOOKUP(Table5[[#This Row],[Product]],Table5[Product],$I$206:$I$305)</f>
        <v>2338.56</v>
      </c>
      <c r="M285" s="37" t="str">
        <f t="shared" si="1"/>
        <v>Low</v>
      </c>
      <c r="N285" s="33">
        <f>ROUND((Table5[[#This Row],[Profit]]/Table5[[#This Row],[Revenue Generated]])*100,2)</f>
        <v>246.36</v>
      </c>
    </row>
    <row r="286" spans="1:14" x14ac:dyDescent="0.3">
      <c r="A286" s="33" t="s">
        <v>419</v>
      </c>
      <c r="B286" s="33" t="s">
        <v>347</v>
      </c>
      <c r="C286" s="33" t="s">
        <v>317</v>
      </c>
      <c r="D286" s="33" t="s">
        <v>340</v>
      </c>
      <c r="E286" s="35">
        <v>858947</v>
      </c>
      <c r="F286" s="33" t="s">
        <v>322</v>
      </c>
      <c r="G286" s="33" t="s">
        <v>368</v>
      </c>
      <c r="H286" s="33">
        <v>2213.4499999999998</v>
      </c>
      <c r="I286" s="33">
        <v>3</v>
      </c>
      <c r="J286" s="33">
        <v>867.33</v>
      </c>
      <c r="K286" s="33" t="s">
        <v>353</v>
      </c>
      <c r="L286" s="33" cm="1">
        <f t="array" ref="L286">_xlfn.XLOOKUP(Table5[[#This Row],[Product]],Table5[Product],Table5[Price])*_xlfn.XLOOKUP(Table5[[#This Row],[Product]],Table5[Product],$I$206:$I$305)</f>
        <v>20169.599999999999</v>
      </c>
      <c r="M286" s="37" t="str">
        <f t="shared" si="1"/>
        <v>High</v>
      </c>
      <c r="N286" s="33">
        <f>ROUND((Table5[[#This Row],[Profit]]/Table5[[#This Row],[Revenue Generated]])*100,2)</f>
        <v>4.3</v>
      </c>
    </row>
    <row r="287" spans="1:14" x14ac:dyDescent="0.3">
      <c r="A287" s="33" t="s">
        <v>420</v>
      </c>
      <c r="B287" s="33" t="s">
        <v>326</v>
      </c>
      <c r="C287" s="33" t="s">
        <v>317</v>
      </c>
      <c r="D287" s="33" t="s">
        <v>336</v>
      </c>
      <c r="E287" s="33">
        <v>9789825611</v>
      </c>
      <c r="F287" s="33" t="s">
        <v>319</v>
      </c>
      <c r="G287" s="33" t="s">
        <v>218</v>
      </c>
      <c r="H287" s="33">
        <v>384.21</v>
      </c>
      <c r="I287" s="33">
        <v>5</v>
      </c>
      <c r="J287" s="33">
        <v>354.16</v>
      </c>
      <c r="K287" s="33" t="s">
        <v>353</v>
      </c>
      <c r="L287" s="33" cm="1">
        <f t="array" ref="L287">_xlfn.XLOOKUP(Table5[[#This Row],[Product]],Table5[Product],Table5[Price])*_xlfn.XLOOKUP(Table5[[#This Row],[Product]],Table5[Product],$I$206:$I$305)</f>
        <v>18630.080000000002</v>
      </c>
      <c r="M287" s="37" t="str">
        <f t="shared" si="1"/>
        <v>High</v>
      </c>
      <c r="N287" s="33">
        <f>ROUND((Table5[[#This Row],[Profit]]/Table5[[#This Row],[Revenue Generated]])*100,2)</f>
        <v>1.9</v>
      </c>
    </row>
    <row r="288" spans="1:14" x14ac:dyDescent="0.3">
      <c r="A288" s="33" t="s">
        <v>421</v>
      </c>
      <c r="B288" s="33" t="s">
        <v>335</v>
      </c>
      <c r="C288" s="33" t="s">
        <v>317</v>
      </c>
      <c r="D288" s="33" t="s">
        <v>340</v>
      </c>
      <c r="E288" s="33">
        <v>9371462183</v>
      </c>
      <c r="F288" s="33" t="s">
        <v>197</v>
      </c>
      <c r="G288" s="33" t="s">
        <v>226</v>
      </c>
      <c r="H288" s="33">
        <v>498.41</v>
      </c>
      <c r="I288" s="33">
        <v>7</v>
      </c>
      <c r="J288" s="33">
        <v>435.36</v>
      </c>
      <c r="K288" s="33" t="s">
        <v>214</v>
      </c>
      <c r="L288" s="33" cm="1">
        <f t="array" ref="L288">_xlfn.XLOOKUP(Table5[[#This Row],[Product]],Table5[Product],Table5[Price])*_xlfn.XLOOKUP(Table5[[#This Row],[Product]],Table5[Product],$I$206:$I$305)</f>
        <v>20278.72</v>
      </c>
      <c r="M288" s="37" t="str">
        <f t="shared" si="1"/>
        <v>High</v>
      </c>
      <c r="N288" s="33">
        <f>ROUND((Table5[[#This Row],[Profit]]/Table5[[#This Row],[Revenue Generated]])*100,2)</f>
        <v>2.15</v>
      </c>
    </row>
    <row r="289" spans="1:14" x14ac:dyDescent="0.3">
      <c r="A289" s="33" t="s">
        <v>422</v>
      </c>
      <c r="B289" s="33" t="s">
        <v>347</v>
      </c>
      <c r="C289" s="33" t="s">
        <v>317</v>
      </c>
      <c r="D289" s="33" t="s">
        <v>340</v>
      </c>
      <c r="E289" s="33">
        <v>9444893207</v>
      </c>
      <c r="F289" s="33" t="s">
        <v>319</v>
      </c>
      <c r="G289" s="33" t="s">
        <v>218</v>
      </c>
      <c r="H289" s="33">
        <v>1599.24</v>
      </c>
      <c r="I289" s="33">
        <v>10</v>
      </c>
      <c r="J289" s="33">
        <v>4368.75</v>
      </c>
      <c r="K289" s="33" t="s">
        <v>214</v>
      </c>
      <c r="L289" s="33" cm="1">
        <f t="array" ref="L289">_xlfn.XLOOKUP(Table5[[#This Row],[Product]],Table5[Product],Table5[Price])*_xlfn.XLOOKUP(Table5[[#This Row],[Product]],Table5[Product],$I$206:$I$305)</f>
        <v>18630.080000000002</v>
      </c>
      <c r="M289" s="37" t="str">
        <f t="shared" si="1"/>
        <v>High</v>
      </c>
      <c r="N289" s="33">
        <f>ROUND((Table5[[#This Row],[Profit]]/Table5[[#This Row],[Revenue Generated]])*100,2)</f>
        <v>23.45</v>
      </c>
    </row>
    <row r="290" spans="1:14" x14ac:dyDescent="0.3">
      <c r="A290" s="33" t="s">
        <v>423</v>
      </c>
      <c r="B290" s="33" t="s">
        <v>316</v>
      </c>
      <c r="C290" s="33" t="s">
        <v>317</v>
      </c>
      <c r="D290" s="33" t="s">
        <v>344</v>
      </c>
      <c r="E290" s="33">
        <v>9339358166</v>
      </c>
      <c r="F290" s="33" t="s">
        <v>322</v>
      </c>
      <c r="G290" s="33" t="s">
        <v>330</v>
      </c>
      <c r="H290" s="33">
        <v>962.07</v>
      </c>
      <c r="I290" s="33">
        <v>9</v>
      </c>
      <c r="J290" s="33">
        <v>905.89</v>
      </c>
      <c r="K290" s="33" t="s">
        <v>214</v>
      </c>
      <c r="L290" s="33" cm="1">
        <f t="array" ref="L290">_xlfn.XLOOKUP(Table5[[#This Row],[Product]],Table5[Product],Table5[Price])*_xlfn.XLOOKUP(Table5[[#This Row],[Product]],Table5[Product],$I$206:$I$305)</f>
        <v>5864.6500000000005</v>
      </c>
      <c r="M290" s="37" t="str">
        <f t="shared" si="1"/>
        <v>Medium</v>
      </c>
      <c r="N290" s="33">
        <f>ROUND((Table5[[#This Row],[Profit]]/Table5[[#This Row],[Revenue Generated]])*100,2)</f>
        <v>15.45</v>
      </c>
    </row>
    <row r="291" spans="1:14" x14ac:dyDescent="0.3">
      <c r="A291" s="33" t="s">
        <v>424</v>
      </c>
      <c r="B291" s="33" t="s">
        <v>316</v>
      </c>
      <c r="C291" s="33" t="s">
        <v>317</v>
      </c>
      <c r="D291" s="33" t="s">
        <v>327</v>
      </c>
      <c r="E291" s="33">
        <v>9119201960</v>
      </c>
      <c r="F291" s="33" t="s">
        <v>322</v>
      </c>
      <c r="G291" s="33" t="s">
        <v>258</v>
      </c>
      <c r="H291" s="33">
        <v>1673.22</v>
      </c>
      <c r="I291" s="33">
        <v>7</v>
      </c>
      <c r="J291" s="33">
        <v>1935.04</v>
      </c>
      <c r="K291" s="33" t="s">
        <v>353</v>
      </c>
      <c r="L291" s="33" cm="1">
        <f t="array" ref="L291">_xlfn.XLOOKUP(Table5[[#This Row],[Product]],Table5[Product],Table5[Price])*_xlfn.XLOOKUP(Table5[[#This Row],[Product]],Table5[Product],$I$206:$I$305)</f>
        <v>6960.09</v>
      </c>
      <c r="M291" s="37" t="str">
        <f t="shared" si="1"/>
        <v>Medium</v>
      </c>
      <c r="N291" s="33">
        <f>ROUND((Table5[[#This Row],[Profit]]/Table5[[#This Row],[Revenue Generated]])*100,2)</f>
        <v>27.8</v>
      </c>
    </row>
    <row r="292" spans="1:14" x14ac:dyDescent="0.3">
      <c r="A292" s="33" t="s">
        <v>425</v>
      </c>
      <c r="B292" s="33" t="s">
        <v>316</v>
      </c>
      <c r="C292" s="33" t="s">
        <v>317</v>
      </c>
      <c r="D292" s="33" t="s">
        <v>336</v>
      </c>
      <c r="E292" s="33">
        <v>9161700373</v>
      </c>
      <c r="F292" s="33" t="s">
        <v>319</v>
      </c>
      <c r="G292" s="33" t="s">
        <v>328</v>
      </c>
      <c r="H292" s="33">
        <v>791.24</v>
      </c>
      <c r="I292" s="33">
        <v>4</v>
      </c>
      <c r="J292" s="33">
        <v>366.17</v>
      </c>
      <c r="K292" s="33" t="s">
        <v>214</v>
      </c>
      <c r="L292" s="33" cm="1">
        <f t="array" ref="L292">_xlfn.XLOOKUP(Table5[[#This Row],[Product]],Table5[Product],Table5[Price])*_xlfn.XLOOKUP(Table5[[#This Row],[Product]],Table5[Product],$I$206:$I$305)</f>
        <v>1363.73</v>
      </c>
      <c r="M292" s="37" t="str">
        <f t="shared" si="1"/>
        <v>Low</v>
      </c>
      <c r="N292" s="33">
        <f>ROUND((Table5[[#This Row],[Profit]]/Table5[[#This Row],[Revenue Generated]])*100,2)</f>
        <v>26.85</v>
      </c>
    </row>
    <row r="293" spans="1:14" x14ac:dyDescent="0.3">
      <c r="A293" s="33" t="s">
        <v>426</v>
      </c>
      <c r="B293" s="33" t="s">
        <v>326</v>
      </c>
      <c r="C293" s="33" t="s">
        <v>317</v>
      </c>
      <c r="D293" s="33" t="s">
        <v>355</v>
      </c>
      <c r="E293" s="33">
        <v>9242580997</v>
      </c>
      <c r="F293" s="33" t="s">
        <v>319</v>
      </c>
      <c r="G293" s="33" t="s">
        <v>211</v>
      </c>
      <c r="H293" s="33">
        <v>1210.8599999999999</v>
      </c>
      <c r="I293" s="33">
        <v>3</v>
      </c>
      <c r="J293" s="33">
        <v>698.75</v>
      </c>
      <c r="K293" s="33" t="s">
        <v>214</v>
      </c>
      <c r="L293" s="33" cm="1">
        <f t="array" ref="L293">_xlfn.XLOOKUP(Table5[[#This Row],[Product]],Table5[Product],Table5[Price])*_xlfn.XLOOKUP(Table5[[#This Row],[Product]],Table5[Product],$I$206:$I$305)</f>
        <v>31948.28</v>
      </c>
      <c r="M293" s="37" t="str">
        <f t="shared" si="1"/>
        <v>High</v>
      </c>
      <c r="N293" s="33">
        <f>ROUND((Table5[[#This Row],[Profit]]/Table5[[#This Row],[Revenue Generated]])*100,2)</f>
        <v>2.19</v>
      </c>
    </row>
    <row r="294" spans="1:14" x14ac:dyDescent="0.3">
      <c r="A294" s="33" t="s">
        <v>427</v>
      </c>
      <c r="B294" s="33" t="s">
        <v>347</v>
      </c>
      <c r="C294" s="33" t="s">
        <v>317</v>
      </c>
      <c r="D294" s="33" t="s">
        <v>342</v>
      </c>
      <c r="E294" s="33">
        <v>9370714466</v>
      </c>
      <c r="F294" s="33" t="s">
        <v>319</v>
      </c>
      <c r="G294" s="33" t="s">
        <v>328</v>
      </c>
      <c r="H294" s="33">
        <v>619.57000000000005</v>
      </c>
      <c r="I294" s="33">
        <v>7</v>
      </c>
      <c r="J294" s="33">
        <v>562.75</v>
      </c>
      <c r="K294" s="33" t="s">
        <v>214</v>
      </c>
      <c r="L294" s="33" cm="1">
        <f t="array" ref="L294">_xlfn.XLOOKUP(Table5[[#This Row],[Product]],Table5[Product],Table5[Price])*_xlfn.XLOOKUP(Table5[[#This Row],[Product]],Table5[Product],$I$206:$I$305)</f>
        <v>1363.73</v>
      </c>
      <c r="M294" s="37" t="str">
        <f t="shared" si="1"/>
        <v>Low</v>
      </c>
      <c r="N294" s="33">
        <f>ROUND((Table5[[#This Row],[Profit]]/Table5[[#This Row],[Revenue Generated]])*100,2)</f>
        <v>41.27</v>
      </c>
    </row>
    <row r="295" spans="1:14" x14ac:dyDescent="0.3">
      <c r="A295" s="33" t="s">
        <v>428</v>
      </c>
      <c r="B295" s="33" t="s">
        <v>316</v>
      </c>
      <c r="C295" s="33" t="s">
        <v>317</v>
      </c>
      <c r="D295" s="33" t="s">
        <v>340</v>
      </c>
      <c r="E295" s="33">
        <v>9427647839</v>
      </c>
      <c r="F295" s="33" t="s">
        <v>197</v>
      </c>
      <c r="G295" s="33" t="s">
        <v>171</v>
      </c>
      <c r="H295" s="33">
        <v>308.5</v>
      </c>
      <c r="I295" s="33">
        <v>15</v>
      </c>
      <c r="J295" s="33">
        <v>802.96</v>
      </c>
      <c r="K295" s="33" t="s">
        <v>199</v>
      </c>
      <c r="L295" s="33" cm="1">
        <f t="array" ref="L295">_xlfn.XLOOKUP(Table5[[#This Row],[Product]],Table5[Product],Table5[Price])*_xlfn.XLOOKUP(Table5[[#This Row],[Product]],Table5[Product],$I$206:$I$305)</f>
        <v>40080</v>
      </c>
      <c r="M295" s="37" t="str">
        <f t="shared" si="1"/>
        <v>High</v>
      </c>
      <c r="N295" s="33">
        <f>ROUND((Table5[[#This Row],[Profit]]/Table5[[#This Row],[Revenue Generated]])*100,2)</f>
        <v>2</v>
      </c>
    </row>
    <row r="296" spans="1:14" x14ac:dyDescent="0.3">
      <c r="A296" s="33" t="s">
        <v>429</v>
      </c>
      <c r="B296" s="33" t="s">
        <v>335</v>
      </c>
      <c r="C296" s="33" t="s">
        <v>317</v>
      </c>
      <c r="D296" s="33" t="s">
        <v>340</v>
      </c>
      <c r="E296" s="33">
        <v>9942075195</v>
      </c>
      <c r="F296" s="33" t="s">
        <v>319</v>
      </c>
      <c r="G296" s="33" t="s">
        <v>218</v>
      </c>
      <c r="H296" s="33">
        <v>1853.37</v>
      </c>
      <c r="I296" s="33">
        <v>5</v>
      </c>
      <c r="J296" s="33">
        <v>1661.2</v>
      </c>
      <c r="K296" s="33" t="s">
        <v>199</v>
      </c>
      <c r="L296" s="33" cm="1">
        <f t="array" ref="L296">_xlfn.XLOOKUP(Table5[[#This Row],[Product]],Table5[Product],Table5[Price])*_xlfn.XLOOKUP(Table5[[#This Row],[Product]],Table5[Product],$I$206:$I$305)</f>
        <v>18630.080000000002</v>
      </c>
      <c r="M296" s="37" t="str">
        <f t="shared" si="1"/>
        <v>High</v>
      </c>
      <c r="N296" s="33">
        <f>ROUND((Table5[[#This Row],[Profit]]/Table5[[#This Row],[Revenue Generated]])*100,2)</f>
        <v>8.92</v>
      </c>
    </row>
    <row r="297" spans="1:14" x14ac:dyDescent="0.3">
      <c r="A297" s="33" t="s">
        <v>430</v>
      </c>
      <c r="B297" s="33" t="s">
        <v>326</v>
      </c>
      <c r="C297" s="33" t="s">
        <v>317</v>
      </c>
      <c r="D297" s="33" t="s">
        <v>344</v>
      </c>
      <c r="E297" s="33">
        <v>9857569233</v>
      </c>
      <c r="F297" s="33" t="s">
        <v>319</v>
      </c>
      <c r="G297" s="33" t="s">
        <v>352</v>
      </c>
      <c r="H297" s="33">
        <v>2501.48</v>
      </c>
      <c r="I297" s="33">
        <v>6</v>
      </c>
      <c r="J297" s="33">
        <v>4142.5200000000004</v>
      </c>
      <c r="K297" s="33" t="s">
        <v>324</v>
      </c>
      <c r="L297" s="33" cm="1">
        <f t="array" ref="L297">_xlfn.XLOOKUP(Table5[[#This Row],[Product]],Table5[Product],Table5[Price])*_xlfn.XLOOKUP(Table5[[#This Row],[Product]],Table5[Product],$I$206:$I$305)</f>
        <v>7420.41</v>
      </c>
      <c r="M297" s="37" t="str">
        <f t="shared" si="1"/>
        <v>Medium</v>
      </c>
      <c r="N297" s="33">
        <f>ROUND((Table5[[#This Row],[Profit]]/Table5[[#This Row],[Revenue Generated]])*100,2)</f>
        <v>55.83</v>
      </c>
    </row>
    <row r="298" spans="1:14" x14ac:dyDescent="0.3">
      <c r="A298" s="33" t="s">
        <v>431</v>
      </c>
      <c r="B298" s="33" t="s">
        <v>326</v>
      </c>
      <c r="C298" s="33" t="s">
        <v>317</v>
      </c>
      <c r="D298" s="33" t="s">
        <v>318</v>
      </c>
      <c r="E298" s="33">
        <v>9944969047</v>
      </c>
      <c r="F298" s="33" t="s">
        <v>197</v>
      </c>
      <c r="G298" s="33" t="s">
        <v>169</v>
      </c>
      <c r="H298" s="33">
        <v>2596.13</v>
      </c>
      <c r="I298" s="33">
        <v>5</v>
      </c>
      <c r="J298" s="33">
        <v>1453.33</v>
      </c>
      <c r="K298" s="33" t="s">
        <v>324</v>
      </c>
      <c r="L298" s="33" cm="1">
        <f t="array" ref="L298">_xlfn.XLOOKUP(Table5[[#This Row],[Product]],Table5[Product],Table5[Price])*_xlfn.XLOOKUP(Table5[[#This Row],[Product]],Table5[Product],$I$206:$I$305)</f>
        <v>9196.39</v>
      </c>
      <c r="M298" s="37" t="str">
        <f t="shared" si="1"/>
        <v>Medium</v>
      </c>
      <c r="N298" s="33">
        <f>ROUND((Table5[[#This Row],[Profit]]/Table5[[#This Row],[Revenue Generated]])*100,2)</f>
        <v>15.8</v>
      </c>
    </row>
    <row r="299" spans="1:14" x14ac:dyDescent="0.3">
      <c r="A299" s="33" t="s">
        <v>432</v>
      </c>
      <c r="B299" s="33" t="s">
        <v>316</v>
      </c>
      <c r="C299" s="33" t="s">
        <v>317</v>
      </c>
      <c r="D299" s="33" t="s">
        <v>327</v>
      </c>
      <c r="E299" s="35">
        <v>56428436</v>
      </c>
      <c r="F299" s="33" t="s">
        <v>197</v>
      </c>
      <c r="G299" s="33" t="s">
        <v>226</v>
      </c>
      <c r="H299" s="33">
        <v>2209.52</v>
      </c>
      <c r="I299" s="33">
        <v>6</v>
      </c>
      <c r="J299" s="33">
        <v>3760.49</v>
      </c>
      <c r="K299" s="33" t="s">
        <v>324</v>
      </c>
      <c r="L299" s="33" cm="1">
        <f t="array" ref="L299">_xlfn.XLOOKUP(Table5[[#This Row],[Product]],Table5[Product],Table5[Price])*_xlfn.XLOOKUP(Table5[[#This Row],[Product]],Table5[Product],$I$206:$I$305)</f>
        <v>20278.72</v>
      </c>
      <c r="M299" s="37" t="str">
        <f t="shared" si="1"/>
        <v>High</v>
      </c>
      <c r="N299" s="33">
        <f>ROUND((Table5[[#This Row],[Profit]]/Table5[[#This Row],[Revenue Generated]])*100,2)</f>
        <v>18.54</v>
      </c>
    </row>
    <row r="300" spans="1:14" x14ac:dyDescent="0.3">
      <c r="A300" s="33" t="s">
        <v>433</v>
      </c>
      <c r="B300" s="33" t="s">
        <v>335</v>
      </c>
      <c r="C300" s="33" t="s">
        <v>317</v>
      </c>
      <c r="D300" s="33" t="s">
        <v>342</v>
      </c>
      <c r="E300" s="33">
        <v>9705241364</v>
      </c>
      <c r="F300" s="33" t="s">
        <v>322</v>
      </c>
      <c r="G300" s="33" t="s">
        <v>330</v>
      </c>
      <c r="H300" s="33">
        <v>458.7</v>
      </c>
      <c r="I300" s="33">
        <v>7</v>
      </c>
      <c r="J300" s="33">
        <v>839.97</v>
      </c>
      <c r="K300" s="33" t="s">
        <v>324</v>
      </c>
      <c r="L300" s="33" cm="1">
        <f t="array" ref="L300">_xlfn.XLOOKUP(Table5[[#This Row],[Product]],Table5[Product],Table5[Price])*_xlfn.XLOOKUP(Table5[[#This Row],[Product]],Table5[Product],$I$206:$I$305)</f>
        <v>5864.6500000000005</v>
      </c>
      <c r="M300" s="37" t="str">
        <f t="shared" si="1"/>
        <v>Medium</v>
      </c>
      <c r="N300" s="33">
        <f>ROUND((Table5[[#This Row],[Profit]]/Table5[[#This Row],[Revenue Generated]])*100,2)</f>
        <v>14.32</v>
      </c>
    </row>
    <row r="301" spans="1:14" x14ac:dyDescent="0.3">
      <c r="A301" s="33" t="s">
        <v>434</v>
      </c>
      <c r="B301" s="33" t="s">
        <v>335</v>
      </c>
      <c r="C301" s="33" t="s">
        <v>317</v>
      </c>
      <c r="D301" s="33" t="s">
        <v>318</v>
      </c>
      <c r="E301" s="33">
        <v>9245776255</v>
      </c>
      <c r="F301" s="33" t="s">
        <v>319</v>
      </c>
      <c r="G301" s="33" t="s">
        <v>211</v>
      </c>
      <c r="H301" s="33">
        <v>833.16</v>
      </c>
      <c r="I301" s="33">
        <v>12</v>
      </c>
      <c r="J301" s="33">
        <v>2135.63</v>
      </c>
      <c r="K301" s="33" t="s">
        <v>324</v>
      </c>
      <c r="L301" s="33" cm="1">
        <f t="array" ref="L301">_xlfn.XLOOKUP(Table5[[#This Row],[Product]],Table5[Product],Table5[Price])*_xlfn.XLOOKUP(Table5[[#This Row],[Product]],Table5[Product],$I$206:$I$305)</f>
        <v>31948.28</v>
      </c>
      <c r="M301" s="37" t="str">
        <f t="shared" si="1"/>
        <v>High</v>
      </c>
      <c r="N301" s="33">
        <f>ROUND((Table5[[#This Row],[Profit]]/Table5[[#This Row],[Revenue Generated]])*100,2)</f>
        <v>6.68</v>
      </c>
    </row>
    <row r="302" spans="1:14" x14ac:dyDescent="0.3">
      <c r="A302" s="33" t="s">
        <v>435</v>
      </c>
      <c r="B302" s="33" t="s">
        <v>335</v>
      </c>
      <c r="C302" s="33" t="s">
        <v>317</v>
      </c>
      <c r="D302" s="33" t="s">
        <v>355</v>
      </c>
      <c r="E302" s="33">
        <v>9881212856</v>
      </c>
      <c r="F302" s="33" t="s">
        <v>319</v>
      </c>
      <c r="G302" s="33" t="s">
        <v>211</v>
      </c>
      <c r="H302" s="33">
        <v>238.37</v>
      </c>
      <c r="I302" s="33">
        <v>13</v>
      </c>
      <c r="J302" s="33">
        <v>586.94000000000005</v>
      </c>
      <c r="K302" s="33" t="s">
        <v>324</v>
      </c>
      <c r="L302" s="33" cm="1">
        <f t="array" ref="L302">_xlfn.XLOOKUP(Table5[[#This Row],[Product]],Table5[Product],Table5[Price])*_xlfn.XLOOKUP(Table5[[#This Row],[Product]],Table5[Product],$I$206:$I$305)</f>
        <v>31948.28</v>
      </c>
      <c r="M302" s="37" t="str">
        <f t="shared" si="1"/>
        <v>High</v>
      </c>
      <c r="N302" s="33">
        <f>ROUND((Table5[[#This Row],[Profit]]/Table5[[#This Row],[Revenue Generated]])*100,2)</f>
        <v>1.84</v>
      </c>
    </row>
    <row r="303" spans="1:14" x14ac:dyDescent="0.3">
      <c r="A303" s="33" t="s">
        <v>436</v>
      </c>
      <c r="B303" s="33" t="s">
        <v>316</v>
      </c>
      <c r="C303" s="33" t="s">
        <v>317</v>
      </c>
      <c r="D303" s="33" t="s">
        <v>342</v>
      </c>
      <c r="E303" s="33">
        <v>9916091858</v>
      </c>
      <c r="F303" s="33" t="s">
        <v>319</v>
      </c>
      <c r="G303" s="33" t="s">
        <v>218</v>
      </c>
      <c r="H303" s="33">
        <v>820.05</v>
      </c>
      <c r="I303" s="33">
        <v>3</v>
      </c>
      <c r="J303" s="33">
        <v>419.41</v>
      </c>
      <c r="K303" s="33" t="s">
        <v>214</v>
      </c>
      <c r="L303" s="33" cm="1">
        <f t="array" ref="L303">_xlfn.XLOOKUP(Table5[[#This Row],[Product]],Table5[Product],Table5[Price])*_xlfn.XLOOKUP(Table5[[#This Row],[Product]],Table5[Product],$I$206:$I$305)</f>
        <v>18630.080000000002</v>
      </c>
      <c r="M303" s="37" t="str">
        <f t="shared" si="1"/>
        <v>High</v>
      </c>
      <c r="N303" s="33">
        <f>ROUND((Table5[[#This Row],[Profit]]/Table5[[#This Row],[Revenue Generated]])*100,2)</f>
        <v>2.25</v>
      </c>
    </row>
    <row r="304" spans="1:14" x14ac:dyDescent="0.3">
      <c r="A304" s="33" t="s">
        <v>437</v>
      </c>
      <c r="B304" s="33" t="s">
        <v>347</v>
      </c>
      <c r="C304" s="33" t="s">
        <v>317</v>
      </c>
      <c r="D304" s="33" t="s">
        <v>318</v>
      </c>
      <c r="E304" s="33">
        <v>9425191872</v>
      </c>
      <c r="F304" s="33" t="s">
        <v>197</v>
      </c>
      <c r="G304" s="33" t="s">
        <v>226</v>
      </c>
      <c r="H304" s="33">
        <v>2716.33</v>
      </c>
      <c r="I304" s="33">
        <v>8</v>
      </c>
      <c r="J304" s="34">
        <v>5513.14</v>
      </c>
      <c r="K304" s="33" t="s">
        <v>324</v>
      </c>
      <c r="L304" s="33" cm="1">
        <f t="array" ref="L304">_xlfn.XLOOKUP(Table5[[#This Row],[Product]],Table5[Product],Table5[Price])*_xlfn.XLOOKUP(Table5[[#This Row],[Product]],Table5[Product],$I$206:$I$305)</f>
        <v>20278.72</v>
      </c>
      <c r="M304" s="37" t="str">
        <f t="shared" si="1"/>
        <v>High</v>
      </c>
      <c r="N304" s="33">
        <f>ROUND((Table5[[#This Row],[Profit]]/Table5[[#This Row],[Revenue Generated]])*100,2)</f>
        <v>27.19</v>
      </c>
    </row>
    <row r="305" spans="1:14" x14ac:dyDescent="0.3">
      <c r="A305" s="33" t="s">
        <v>438</v>
      </c>
      <c r="B305" s="33" t="s">
        <v>347</v>
      </c>
      <c r="C305" s="33" t="s">
        <v>317</v>
      </c>
      <c r="D305" s="33" t="s">
        <v>355</v>
      </c>
      <c r="E305" s="33">
        <v>9459337548</v>
      </c>
      <c r="F305" s="33" t="s">
        <v>319</v>
      </c>
      <c r="G305" s="33" t="s">
        <v>352</v>
      </c>
      <c r="H305" s="33">
        <v>1918.81</v>
      </c>
      <c r="I305" s="33">
        <v>1</v>
      </c>
      <c r="J305" s="33">
        <v>442.75</v>
      </c>
      <c r="K305" s="33" t="s">
        <v>331</v>
      </c>
      <c r="L305" s="33" cm="1">
        <f t="array" ref="L305">_xlfn.XLOOKUP(Table5[[#This Row],[Product]],Table5[Product],Table5[Price])*_xlfn.XLOOKUP(Table5[[#This Row],[Product]],Table5[Product],$I$206:$I$305)</f>
        <v>7420.41</v>
      </c>
      <c r="M305" s="37" t="str">
        <f t="shared" si="1"/>
        <v>Medium</v>
      </c>
      <c r="N305" s="33">
        <f>ROUND((Table5[[#This Row],[Profit]]/Table5[[#This Row],[Revenue Generated]])*100,2)</f>
        <v>5.97</v>
      </c>
    </row>
    <row r="307" spans="1:14" x14ac:dyDescent="0.3">
      <c r="A307" s="15" t="s">
        <v>162</v>
      </c>
      <c r="B307" t="s">
        <v>439</v>
      </c>
      <c r="C307" t="s">
        <v>440</v>
      </c>
    </row>
    <row r="308" spans="1:14" x14ac:dyDescent="0.3">
      <c r="A308" s="16" t="s">
        <v>335</v>
      </c>
      <c r="B308" s="17">
        <v>425791.12000000011</v>
      </c>
      <c r="C308" s="17">
        <v>65576.37000000001</v>
      </c>
    </row>
    <row r="309" spans="1:14" x14ac:dyDescent="0.3">
      <c r="A309" s="16" t="s">
        <v>347</v>
      </c>
      <c r="B309" s="17">
        <v>310910.63999999996</v>
      </c>
      <c r="C309" s="17">
        <v>53496.26</v>
      </c>
      <c r="E309" s="3" t="s">
        <v>441</v>
      </c>
    </row>
    <row r="310" spans="1:14" x14ac:dyDescent="0.3">
      <c r="A310" s="16" t="s">
        <v>326</v>
      </c>
      <c r="B310" s="17">
        <v>378791.24000000005</v>
      </c>
      <c r="C310" s="17">
        <v>52548.770000000004</v>
      </c>
    </row>
    <row r="311" spans="1:14" x14ac:dyDescent="0.3">
      <c r="A311" s="16" t="s">
        <v>316</v>
      </c>
      <c r="B311" s="17">
        <v>264564.83</v>
      </c>
      <c r="C311" s="17">
        <v>53733.26999999999</v>
      </c>
    </row>
    <row r="312" spans="1:14" x14ac:dyDescent="0.3">
      <c r="A312" s="16" t="s">
        <v>163</v>
      </c>
      <c r="B312" s="17">
        <v>1380057.83</v>
      </c>
      <c r="C312" s="17">
        <v>225354.67</v>
      </c>
    </row>
    <row r="314" spans="1:14" x14ac:dyDescent="0.3">
      <c r="A314" s="15" t="s">
        <v>162</v>
      </c>
      <c r="B314" t="s">
        <v>442</v>
      </c>
    </row>
    <row r="315" spans="1:14" x14ac:dyDescent="0.3">
      <c r="A315" s="16" t="s">
        <v>319</v>
      </c>
      <c r="B315" s="17">
        <v>7.2249999999999996</v>
      </c>
      <c r="E315" s="3" t="s">
        <v>443</v>
      </c>
    </row>
    <row r="316" spans="1:14" x14ac:dyDescent="0.3">
      <c r="A316" s="16" t="s">
        <v>197</v>
      </c>
      <c r="B316" s="17">
        <v>8.115384615384615</v>
      </c>
    </row>
    <row r="317" spans="1:14" x14ac:dyDescent="0.3">
      <c r="A317" s="16" t="s">
        <v>322</v>
      </c>
      <c r="B317" s="17">
        <v>7.7647058823529411</v>
      </c>
    </row>
    <row r="318" spans="1:14" x14ac:dyDescent="0.3">
      <c r="A318" s="16" t="s">
        <v>163</v>
      </c>
      <c r="B318" s="17">
        <v>7.64</v>
      </c>
    </row>
  </sheetData>
  <conditionalFormatting sqref="E206:E305">
    <cfRule type="expression" dxfId="16" priority="4">
      <formula>LEN(E206)&lt;&gt;10</formula>
    </cfRule>
  </conditionalFormatting>
  <conditionalFormatting sqref="J206:J305">
    <cfRule type="cellIs" dxfId="15" priority="3" operator="greaterThan">
      <formula>5000</formula>
    </cfRule>
  </conditionalFormatting>
  <conditionalFormatting sqref="L205:L305">
    <cfRule type="dataBar" priority="2">
      <dataBar>
        <cfvo type="min"/>
        <cfvo type="max"/>
        <color rgb="FFD6007B"/>
      </dataBar>
      <extLst>
        <ext xmlns:x14="http://schemas.microsoft.com/office/spreadsheetml/2009/9/main" uri="{B025F937-C7B1-47D3-B67F-A62EFF666E3E}">
          <x14:id>{EDDF44C8-5ADC-40B3-8E37-FDF0B74CA5CC}</x14:id>
        </ext>
      </extLst>
    </cfRule>
  </conditionalFormatting>
  <conditionalFormatting sqref="N205:N305">
    <cfRule type="dataBar" priority="1">
      <dataBar>
        <cfvo type="min"/>
        <cfvo type="max"/>
        <color rgb="FFFFB628"/>
      </dataBar>
      <extLst>
        <ext xmlns:x14="http://schemas.microsoft.com/office/spreadsheetml/2009/9/main" uri="{B025F937-C7B1-47D3-B67F-A62EFF666E3E}">
          <x14:id>{2A32B9FF-D9CB-4594-9C38-834839BC5212}</x14:id>
        </ext>
      </extLst>
    </cfRule>
  </conditionalFormatting>
  <dataValidations count="2">
    <dataValidation type="list" allowBlank="1" showInputMessage="1" showErrorMessage="1" sqref="B185:B201" xr:uid="{7EEECE88-AB23-42BA-A470-93E5DAABA894}">
      <formula1>$F$134:$F$182</formula1>
    </dataValidation>
    <dataValidation type="whole" allowBlank="1" showInputMessage="1" showErrorMessage="1" promptTitle="Number Range" prompt="Value between 1 and 20 are allowed" sqref="I206:I305" xr:uid="{055E33C4-15FC-41ED-9FD2-A318E49AB4F1}">
      <formula1>1</formula1>
      <formula2>20</formula2>
    </dataValidation>
  </dataValidations>
  <pageMargins left="0.7" right="0.7" top="0.75" bottom="0.75" header="0.3" footer="0.3"/>
  <legacyDrawing r:id="rId3"/>
  <tableParts count="5">
    <tablePart r:id="rId4"/>
    <tablePart r:id="rId5"/>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EDDF44C8-5ADC-40B3-8E37-FDF0B74CA5CC}">
            <x14:dataBar minLength="0" maxLength="100" border="1" negativeBarBorderColorSameAsPositive="0">
              <x14:cfvo type="autoMin"/>
              <x14:cfvo type="autoMax"/>
              <x14:borderColor rgb="FFD6007B"/>
              <x14:negativeFillColor rgb="FFFF0000"/>
              <x14:negativeBorderColor rgb="FFFF0000"/>
              <x14:axisColor rgb="FF000000"/>
            </x14:dataBar>
          </x14:cfRule>
          <xm:sqref>L205:L305</xm:sqref>
        </x14:conditionalFormatting>
        <x14:conditionalFormatting xmlns:xm="http://schemas.microsoft.com/office/excel/2006/main">
          <x14:cfRule type="dataBar" id="{2A32B9FF-D9CB-4594-9C38-834839BC5212}">
            <x14:dataBar minLength="0" maxLength="100" border="1" negativeBarBorderColorSameAsPositive="0">
              <x14:cfvo type="autoMin"/>
              <x14:cfvo type="autoMax"/>
              <x14:borderColor rgb="FFFFB628"/>
              <x14:negativeFillColor rgb="FFFF0000"/>
              <x14:negativeBorderColor rgb="FFFF0000"/>
              <x14:axisColor rgb="FF000000"/>
            </x14:dataBar>
          </x14:cfRule>
          <xm:sqref>N205:N305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10196-01E3-4E1E-8CFD-9FBB0C7B2F59}">
  <sheetPr codeName="Sheet2"/>
  <dimension ref="H2:M12"/>
  <sheetViews>
    <sheetView showGridLines="0" zoomScale="88" workbookViewId="0">
      <selection activeCell="H2" sqref="H2:M12"/>
      <pivotSelection pane="bottomRight" activeRow="1" activeCol="7" previousRow="1" previousCol="7" click="1" r:id="rId1">
        <pivotArea type="all" dataOnly="0" outline="0" fieldPosition="0"/>
      </pivotSelection>
    </sheetView>
  </sheetViews>
  <sheetFormatPr defaultRowHeight="14.4" x14ac:dyDescent="0.3"/>
  <cols>
    <col min="1" max="1" width="8.88671875" style="18"/>
    <col min="2" max="2" width="15.88671875" style="18" bestFit="1" customWidth="1"/>
    <col min="3" max="3" width="15.5546875" style="18" bestFit="1" customWidth="1"/>
    <col min="4" max="4" width="5.6640625" style="18" bestFit="1" customWidth="1"/>
    <col min="5" max="5" width="8.88671875" style="18"/>
    <col min="6" max="6" width="6.6640625" style="18" bestFit="1" customWidth="1"/>
    <col min="7" max="7" width="10.5546875" style="18" bestFit="1" customWidth="1"/>
    <col min="8" max="8" width="15.88671875" style="18" bestFit="1" customWidth="1"/>
    <col min="9" max="12" width="8.88671875" style="18"/>
    <col min="13" max="13" width="10.5546875" style="18" bestFit="1" customWidth="1"/>
    <col min="14" max="16384" width="8.88671875" style="18"/>
  </cols>
  <sheetData>
    <row r="2" spans="8:13" x14ac:dyDescent="0.3">
      <c r="H2" s="19" t="s">
        <v>165</v>
      </c>
      <c r="I2" s="19" t="s">
        <v>164</v>
      </c>
      <c r="J2" s="19"/>
      <c r="K2" s="19"/>
      <c r="L2" s="19"/>
      <c r="M2" s="19"/>
    </row>
    <row r="3" spans="8:13" x14ac:dyDescent="0.3">
      <c r="H3" s="19" t="s">
        <v>162</v>
      </c>
      <c r="I3" s="19" t="s">
        <v>42</v>
      </c>
      <c r="J3" s="19" t="s">
        <v>55</v>
      </c>
      <c r="K3" s="19" t="s">
        <v>31</v>
      </c>
      <c r="L3" s="19" t="s">
        <v>66</v>
      </c>
      <c r="M3" s="19" t="s">
        <v>163</v>
      </c>
    </row>
    <row r="4" spans="8:13" x14ac:dyDescent="0.3">
      <c r="H4" s="20" t="s">
        <v>64</v>
      </c>
      <c r="I4" s="21">
        <v>3</v>
      </c>
      <c r="J4" s="21">
        <v>11</v>
      </c>
      <c r="K4" s="21">
        <v>1</v>
      </c>
      <c r="L4" s="21">
        <v>10</v>
      </c>
      <c r="M4" s="21">
        <v>25</v>
      </c>
    </row>
    <row r="5" spans="8:13" x14ac:dyDescent="0.3">
      <c r="H5" s="20" t="s">
        <v>49</v>
      </c>
      <c r="I5" s="21">
        <v>8</v>
      </c>
      <c r="J5" s="21">
        <v>19</v>
      </c>
      <c r="K5" s="21">
        <v>6</v>
      </c>
      <c r="L5" s="21">
        <v>1</v>
      </c>
      <c r="M5" s="21">
        <v>34</v>
      </c>
    </row>
    <row r="6" spans="8:13" x14ac:dyDescent="0.3">
      <c r="H6" s="20" t="s">
        <v>73</v>
      </c>
      <c r="I6" s="21">
        <v>2</v>
      </c>
      <c r="J6" s="21">
        <v>4</v>
      </c>
      <c r="K6" s="21">
        <v>1</v>
      </c>
      <c r="L6" s="21">
        <v>16</v>
      </c>
      <c r="M6" s="21">
        <v>23</v>
      </c>
    </row>
    <row r="7" spans="8:13" x14ac:dyDescent="0.3">
      <c r="H7" s="20" t="s">
        <v>58</v>
      </c>
      <c r="I7" s="21">
        <v>4</v>
      </c>
      <c r="J7" s="21">
        <v>2</v>
      </c>
      <c r="K7" s="21">
        <v>5</v>
      </c>
      <c r="L7" s="21">
        <v>9</v>
      </c>
      <c r="M7" s="21">
        <v>20</v>
      </c>
    </row>
    <row r="8" spans="8:13" x14ac:dyDescent="0.3">
      <c r="H8" s="20" t="s">
        <v>26</v>
      </c>
      <c r="I8" s="21">
        <v>15</v>
      </c>
      <c r="J8" s="21">
        <v>6</v>
      </c>
      <c r="K8" s="21">
        <v>15</v>
      </c>
      <c r="L8" s="21">
        <v>13</v>
      </c>
      <c r="M8" s="21">
        <v>49</v>
      </c>
    </row>
    <row r="9" spans="8:13" x14ac:dyDescent="0.3">
      <c r="H9" s="20" t="s">
        <v>79</v>
      </c>
      <c r="I9" s="21">
        <v>4</v>
      </c>
      <c r="J9" s="21">
        <v>9</v>
      </c>
      <c r="K9" s="21">
        <v>19</v>
      </c>
      <c r="L9" s="21">
        <v>11</v>
      </c>
      <c r="M9" s="21">
        <v>43</v>
      </c>
    </row>
    <row r="10" spans="8:13" x14ac:dyDescent="0.3">
      <c r="H10" s="20" t="s">
        <v>34</v>
      </c>
      <c r="I10" s="21">
        <v>7</v>
      </c>
      <c r="J10" s="21">
        <v>17</v>
      </c>
      <c r="K10" s="21">
        <v>4</v>
      </c>
      <c r="L10" s="21">
        <v>8</v>
      </c>
      <c r="M10" s="21">
        <v>36</v>
      </c>
    </row>
    <row r="11" spans="8:13" x14ac:dyDescent="0.3">
      <c r="H11" s="20" t="s">
        <v>44</v>
      </c>
      <c r="I11" s="21">
        <v>9</v>
      </c>
      <c r="J11" s="21">
        <v>6</v>
      </c>
      <c r="K11" s="21">
        <v>0</v>
      </c>
      <c r="L11" s="21">
        <v>7</v>
      </c>
      <c r="M11" s="21">
        <v>22</v>
      </c>
    </row>
    <row r="12" spans="8:13" x14ac:dyDescent="0.3">
      <c r="H12" s="20" t="s">
        <v>163</v>
      </c>
      <c r="I12" s="21">
        <v>52</v>
      </c>
      <c r="J12" s="21">
        <v>74</v>
      </c>
      <c r="K12" s="21">
        <v>51</v>
      </c>
      <c r="L12" s="21">
        <v>75</v>
      </c>
      <c r="M12" s="21">
        <v>252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Advanced Excel| Assignment</vt:lpstr>
      <vt:lpstr>Dashboard-Question 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anjum shaikh</dc:creator>
  <cp:lastModifiedBy>anjum shaikh</cp:lastModifiedBy>
  <dcterms:created xsi:type="dcterms:W3CDTF">2025-12-31T14:17:21Z</dcterms:created>
  <dcterms:modified xsi:type="dcterms:W3CDTF">2026-01-01T10:06:51Z</dcterms:modified>
</cp:coreProperties>
</file>